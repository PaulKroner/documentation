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2 zu bearbeitende Dokumente\checksum\Überarbeitung Checksum\"/>
    </mc:Choice>
  </mc:AlternateContent>
  <xr:revisionPtr revIDLastSave="0" documentId="13_ncr:1_{172FF5DE-C833-44E6-94D3-5CB9FF9EC8C5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NMI Sammlung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" l="1"/>
  <c r="Q3" i="1"/>
  <c r="S3" i="1" s="1"/>
  <c r="Q12" i="1"/>
  <c r="S12" i="1" s="1"/>
  <c r="T12" i="1" s="1"/>
  <c r="Q11" i="1"/>
  <c r="S11" i="1" s="1"/>
  <c r="T11" i="1" s="1"/>
  <c r="Q10" i="1"/>
  <c r="S10" i="1" s="1"/>
  <c r="T10" i="1" s="1"/>
  <c r="Q9" i="1"/>
  <c r="S9" i="1" s="1"/>
  <c r="T9" i="1" s="1"/>
  <c r="Q8" i="1"/>
  <c r="S8" i="1" s="1"/>
  <c r="T8" i="1" s="1"/>
  <c r="Q7" i="1"/>
  <c r="S7" i="1" s="1"/>
  <c r="T7" i="1" s="1"/>
  <c r="Q6" i="1"/>
  <c r="S6" i="1" s="1"/>
  <c r="T6" i="1" s="1"/>
  <c r="Q5" i="1"/>
  <c r="S5" i="1" s="1"/>
  <c r="T5" i="1" s="1"/>
  <c r="Q4" i="1"/>
  <c r="S4" i="1" s="1"/>
  <c r="T4" i="1" s="1"/>
  <c r="T14" i="1" l="1"/>
</calcChain>
</file>

<file path=xl/sharedStrings.xml><?xml version="1.0" encoding="utf-8"?>
<sst xmlns="http://schemas.openxmlformats.org/spreadsheetml/2006/main" count="78" uniqueCount="46">
  <si>
    <t>hier NMI eingeben:</t>
  </si>
  <si>
    <t>1234C6789A3</t>
  </si>
  <si>
    <t>Status</t>
  </si>
  <si>
    <t>Import</t>
  </si>
  <si>
    <t>Checksum prüfen</t>
  </si>
  <si>
    <t>Checksum bilden</t>
  </si>
  <si>
    <t>Export</t>
  </si>
  <si>
    <t>fertig</t>
  </si>
  <si>
    <t>variabler Export</t>
  </si>
  <si>
    <t>Hier Exportpfad angeben:</t>
  </si>
  <si>
    <t>ChecksumRechner</t>
  </si>
  <si>
    <t>Exportpfad</t>
  </si>
  <si>
    <t>Importpfad</t>
  </si>
  <si>
    <t>Meldung zu Checksum</t>
  </si>
  <si>
    <t>korrekt</t>
  </si>
  <si>
    <t>Problem</t>
  </si>
  <si>
    <t>wie soll Excel wissen, welche Datei? Oder soll ganzer Ordner gewählt werden?</t>
  </si>
  <si>
    <t>S:\2 zu bearbeitende Dokumente\checksum\Überarbeitung Checksum\CSV-Ordner Export\</t>
  </si>
  <si>
    <t>sowohl selbst auswählen als auch vorgeschriebener</t>
  </si>
  <si>
    <t>Meldungszeile löschen</t>
  </si>
  <si>
    <t>Importauswahl</t>
  </si>
  <si>
    <t>checkszmPrüfen zentriert</t>
  </si>
  <si>
    <t>ABCDEFGHIJ0</t>
  </si>
  <si>
    <t>funzt nur mit NMI ohne ";"</t>
  </si>
  <si>
    <t>hier Tutorial / Test</t>
  </si>
  <si>
    <t>Hier NMI eingeben:</t>
  </si>
  <si>
    <t>Berechnete Checksum</t>
  </si>
  <si>
    <t>Stelle</t>
  </si>
  <si>
    <t>Inhalt</t>
  </si>
  <si>
    <t>ASCII-Wert</t>
  </si>
  <si>
    <t>2x ?</t>
  </si>
  <si>
    <t>$asciiVal</t>
  </si>
  <si>
    <t>Total =</t>
  </si>
  <si>
    <t>n</t>
  </si>
  <si>
    <t>j</t>
  </si>
  <si>
    <t>Summe:</t>
  </si>
  <si>
    <t>komplette NMI mit CS</t>
  </si>
  <si>
    <t>F</t>
  </si>
  <si>
    <t>ABCDEF1234</t>
  </si>
  <si>
    <t>A</t>
  </si>
  <si>
    <t>B</t>
  </si>
  <si>
    <t>C</t>
  </si>
  <si>
    <t>D</t>
  </si>
  <si>
    <t>E</t>
  </si>
  <si>
    <t>ABCDEF12345</t>
  </si>
  <si>
    <t>wenn länge =2 dann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</si>
</sst>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Calibri"/>
      <family val="2"/>
    </font>
    <font>
      <sz val="8"/>
      <name val="Segoe UI"/>
      <family val="2"/>
    </font>
    <font>
      <sz val="12"/>
      <color rgb="FF222222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2" borderId="14" xfId="0" applyFill="1" applyBorder="1"/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/>
    <xf numFmtId="0" fontId="4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68580</xdr:rowOff>
        </xdr:from>
        <xdr:to>
          <xdr:col>5</xdr:col>
          <xdr:colOff>952500</xdr:colOff>
          <xdr:row>15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Checksum bilden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15</xdr:row>
          <xdr:rowOff>99060</xdr:rowOff>
        </xdr:from>
        <xdr:to>
          <xdr:col>5</xdr:col>
          <xdr:colOff>952500</xdr:colOff>
          <xdr:row>19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22860</xdr:rowOff>
        </xdr:from>
        <xdr:to>
          <xdr:col>5</xdr:col>
          <xdr:colOff>952500</xdr:colOff>
          <xdr:row>7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7</xdr:row>
          <xdr:rowOff>45720</xdr:rowOff>
        </xdr:from>
        <xdr:to>
          <xdr:col>5</xdr:col>
          <xdr:colOff>952500</xdr:colOff>
          <xdr:row>11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Checksum Prüfen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15240</xdr:rowOff>
        </xdr:from>
        <xdr:to>
          <xdr:col>11</xdr:col>
          <xdr:colOff>1287780</xdr:colOff>
          <xdr:row>7</xdr:row>
          <xdr:rowOff>0</xdr:rowOff>
        </xdr:to>
        <xdr:sp macro="" textlink="">
          <xdr:nvSpPr>
            <xdr:cNvPr id="2613" name="Button 1589" hidden="1">
              <a:extLst>
                <a:ext uri="{63B3BB69-23CF-44E3-9099-C40C66FF867C}">
                  <a14:compatExt spid="_x0000_s2613"/>
                </a:ext>
                <a:ext uri="{FF2B5EF4-FFF2-40B4-BE49-F238E27FC236}">
                  <a16:creationId xmlns:a16="http://schemas.microsoft.com/office/drawing/2014/main" id="{00000000-0008-0000-0000-00003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Checksum Tutorial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167640</xdr:rowOff>
        </xdr:from>
        <xdr:to>
          <xdr:col>2</xdr:col>
          <xdr:colOff>411480</xdr:colOff>
          <xdr:row>2</xdr:row>
          <xdr:rowOff>15240</xdr:rowOff>
        </xdr:to>
        <xdr:sp macro="" textlink="">
          <xdr:nvSpPr>
            <xdr:cNvPr id="2732" name="Kontrollkästchen 1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F8F2A7E2-FF57-4B25-B4F0-DEB67CBC0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</xdr:row>
          <xdr:rowOff>160020</xdr:rowOff>
        </xdr:from>
        <xdr:to>
          <xdr:col>2</xdr:col>
          <xdr:colOff>411480</xdr:colOff>
          <xdr:row>3</xdr:row>
          <xdr:rowOff>15240</xdr:rowOff>
        </xdr:to>
        <xdr:sp macro="" textlink="">
          <xdr:nvSpPr>
            <xdr:cNvPr id="2733" name="Kontrollkästchen 2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BF5E94B1-0CA9-4113-878C-531CDAA9B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2</xdr:row>
          <xdr:rowOff>160020</xdr:rowOff>
        </xdr:from>
        <xdr:to>
          <xdr:col>2</xdr:col>
          <xdr:colOff>411480</xdr:colOff>
          <xdr:row>4</xdr:row>
          <xdr:rowOff>15240</xdr:rowOff>
        </xdr:to>
        <xdr:sp macro="" textlink="">
          <xdr:nvSpPr>
            <xdr:cNvPr id="2734" name="Kontrollkästchen 3" hidden="1">
              <a:extLst>
                <a:ext uri="{63B3BB69-23CF-44E3-9099-C40C66FF867C}">
                  <a14:compatExt spid="_x0000_s2734"/>
                </a:ext>
                <a:ext uri="{FF2B5EF4-FFF2-40B4-BE49-F238E27FC236}">
                  <a16:creationId xmlns:a16="http://schemas.microsoft.com/office/drawing/2014/main" id="{3EE278D8-37F6-4F01-8B77-532CF04510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</xdr:row>
          <xdr:rowOff>160020</xdr:rowOff>
        </xdr:from>
        <xdr:to>
          <xdr:col>2</xdr:col>
          <xdr:colOff>411480</xdr:colOff>
          <xdr:row>5</xdr:row>
          <xdr:rowOff>15240</xdr:rowOff>
        </xdr:to>
        <xdr:sp macro="" textlink="">
          <xdr:nvSpPr>
            <xdr:cNvPr id="2735" name="Kontrollkästchen 4" hidden="1">
              <a:extLst>
                <a:ext uri="{63B3BB69-23CF-44E3-9099-C40C66FF867C}">
                  <a14:compatExt spid="_x0000_s2735"/>
                </a:ext>
                <a:ext uri="{FF2B5EF4-FFF2-40B4-BE49-F238E27FC236}">
                  <a16:creationId xmlns:a16="http://schemas.microsoft.com/office/drawing/2014/main" id="{03B4E686-42F7-4AC8-98D9-438F82800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4</xdr:row>
          <xdr:rowOff>160020</xdr:rowOff>
        </xdr:from>
        <xdr:to>
          <xdr:col>2</xdr:col>
          <xdr:colOff>411480</xdr:colOff>
          <xdr:row>6</xdr:row>
          <xdr:rowOff>15240</xdr:rowOff>
        </xdr:to>
        <xdr:sp macro="" textlink="">
          <xdr:nvSpPr>
            <xdr:cNvPr id="2736" name="Kontrollkästchen 5" hidden="1">
              <a:extLst>
                <a:ext uri="{63B3BB69-23CF-44E3-9099-C40C66FF867C}">
                  <a14:compatExt spid="_x0000_s2736"/>
                </a:ext>
                <a:ext uri="{FF2B5EF4-FFF2-40B4-BE49-F238E27FC236}">
                  <a16:creationId xmlns:a16="http://schemas.microsoft.com/office/drawing/2014/main" id="{E99028FE-302B-4789-B308-DE5DAE26D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5</xdr:row>
          <xdr:rowOff>160020</xdr:rowOff>
        </xdr:from>
        <xdr:to>
          <xdr:col>2</xdr:col>
          <xdr:colOff>411480</xdr:colOff>
          <xdr:row>7</xdr:row>
          <xdr:rowOff>15240</xdr:rowOff>
        </xdr:to>
        <xdr:sp macro="" textlink="">
          <xdr:nvSpPr>
            <xdr:cNvPr id="2737" name="Kontrollkästchen 6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6470B1C5-D633-4370-9B65-790E9F4A3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6</xdr:row>
          <xdr:rowOff>160020</xdr:rowOff>
        </xdr:from>
        <xdr:to>
          <xdr:col>2</xdr:col>
          <xdr:colOff>411480</xdr:colOff>
          <xdr:row>8</xdr:row>
          <xdr:rowOff>15240</xdr:rowOff>
        </xdr:to>
        <xdr:sp macro="" textlink="">
          <xdr:nvSpPr>
            <xdr:cNvPr id="2738" name="Kontrollkästchen 7" hidden="1">
              <a:extLst>
                <a:ext uri="{63B3BB69-23CF-44E3-9099-C40C66FF867C}">
                  <a14:compatExt spid="_x0000_s2738"/>
                </a:ext>
                <a:ext uri="{FF2B5EF4-FFF2-40B4-BE49-F238E27FC236}">
                  <a16:creationId xmlns:a16="http://schemas.microsoft.com/office/drawing/2014/main" id="{08463313-CEC5-4818-B8E0-88B76F61A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7</xdr:row>
          <xdr:rowOff>160020</xdr:rowOff>
        </xdr:from>
        <xdr:to>
          <xdr:col>2</xdr:col>
          <xdr:colOff>411480</xdr:colOff>
          <xdr:row>9</xdr:row>
          <xdr:rowOff>15240</xdr:rowOff>
        </xdr:to>
        <xdr:sp macro="" textlink="">
          <xdr:nvSpPr>
            <xdr:cNvPr id="2739" name="Kontrollkästchen 8" hidden="1">
              <a:extLst>
                <a:ext uri="{63B3BB69-23CF-44E3-9099-C40C66FF867C}">
                  <a14:compatExt spid="_x0000_s2739"/>
                </a:ext>
                <a:ext uri="{FF2B5EF4-FFF2-40B4-BE49-F238E27FC236}">
                  <a16:creationId xmlns:a16="http://schemas.microsoft.com/office/drawing/2014/main" id="{6FFD9A90-1E27-4D25-9C3D-9FDE02945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8</xdr:row>
          <xdr:rowOff>160020</xdr:rowOff>
        </xdr:from>
        <xdr:to>
          <xdr:col>2</xdr:col>
          <xdr:colOff>411480</xdr:colOff>
          <xdr:row>10</xdr:row>
          <xdr:rowOff>15240</xdr:rowOff>
        </xdr:to>
        <xdr:sp macro="" textlink="">
          <xdr:nvSpPr>
            <xdr:cNvPr id="2740" name="Kontrollkästchen 9" hidden="1">
              <a:extLst>
                <a:ext uri="{63B3BB69-23CF-44E3-9099-C40C66FF867C}">
                  <a14:compatExt spid="_x0000_s2740"/>
                </a:ext>
                <a:ext uri="{FF2B5EF4-FFF2-40B4-BE49-F238E27FC236}">
                  <a16:creationId xmlns:a16="http://schemas.microsoft.com/office/drawing/2014/main" id="{79EA2417-1FE6-48B9-AE38-01A4A88DE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9</xdr:row>
          <xdr:rowOff>160020</xdr:rowOff>
        </xdr:from>
        <xdr:to>
          <xdr:col>2</xdr:col>
          <xdr:colOff>411480</xdr:colOff>
          <xdr:row>11</xdr:row>
          <xdr:rowOff>15240</xdr:rowOff>
        </xdr:to>
        <xdr:sp macro="" textlink="">
          <xdr:nvSpPr>
            <xdr:cNvPr id="2741" name="Kontrollkästchen 10" hidden="1">
              <a:extLst>
                <a:ext uri="{63B3BB69-23CF-44E3-9099-C40C66FF867C}">
                  <a14:compatExt spid="_x0000_s2741"/>
                </a:ext>
                <a:ext uri="{FF2B5EF4-FFF2-40B4-BE49-F238E27FC236}">
                  <a16:creationId xmlns:a16="http://schemas.microsoft.com/office/drawing/2014/main" id="{F61E13D6-51BD-4780-85B4-F65C001D9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160020</xdr:rowOff>
        </xdr:from>
        <xdr:to>
          <xdr:col>2</xdr:col>
          <xdr:colOff>411480</xdr:colOff>
          <xdr:row>12</xdr:row>
          <xdr:rowOff>7620</xdr:rowOff>
        </xdr:to>
        <xdr:sp macro="" textlink="">
          <xdr:nvSpPr>
            <xdr:cNvPr id="2742" name="Kontrollkästchen 11" hidden="1">
              <a:extLst>
                <a:ext uri="{63B3BB69-23CF-44E3-9099-C40C66FF867C}">
                  <a14:compatExt spid="_x0000_s2742"/>
                </a:ext>
                <a:ext uri="{FF2B5EF4-FFF2-40B4-BE49-F238E27FC236}">
                  <a16:creationId xmlns:a16="http://schemas.microsoft.com/office/drawing/2014/main" id="{6F31927E-3406-48F7-9304-3E8DE4267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</xdr:row>
          <xdr:rowOff>167640</xdr:rowOff>
        </xdr:from>
        <xdr:to>
          <xdr:col>2</xdr:col>
          <xdr:colOff>411480</xdr:colOff>
          <xdr:row>13</xdr:row>
          <xdr:rowOff>15240</xdr:rowOff>
        </xdr:to>
        <xdr:sp macro="" textlink="">
          <xdr:nvSpPr>
            <xdr:cNvPr id="2743" name="Kontrollkästchen 12" hidden="1">
              <a:extLst>
                <a:ext uri="{63B3BB69-23CF-44E3-9099-C40C66FF867C}">
                  <a14:compatExt spid="_x0000_s2743"/>
                </a:ext>
                <a:ext uri="{FF2B5EF4-FFF2-40B4-BE49-F238E27FC236}">
                  <a16:creationId xmlns:a16="http://schemas.microsoft.com/office/drawing/2014/main" id="{2C4DE6A1-A8F0-4FE1-947C-7F9F31134B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V39"/>
  <sheetViews>
    <sheetView tabSelected="1" workbookViewId="0">
      <selection activeCell="U10" sqref="U10"/>
    </sheetView>
  </sheetViews>
  <sheetFormatPr baseColWidth="10" defaultColWidth="8.88671875" defaultRowHeight="14.4" x14ac:dyDescent="0.3"/>
  <cols>
    <col min="1" max="1" width="16.5546875" bestFit="1" customWidth="1"/>
    <col min="2" max="2" width="12.21875" style="7" bestFit="1" customWidth="1"/>
    <col min="3" max="3" width="6.33203125" style="7" customWidth="1"/>
    <col min="4" max="4" width="19" style="7" bestFit="1" customWidth="1"/>
    <col min="5" max="5" width="21.88671875" style="1" bestFit="1" customWidth="1"/>
    <col min="6" max="6" width="75.5546875" style="1" bestFit="1" customWidth="1"/>
    <col min="7" max="7" width="5.6640625" style="1" customWidth="1"/>
    <col min="8" max="8" width="21.6640625" style="1" bestFit="1" customWidth="1"/>
    <col min="9" max="9" width="7.77734375" style="1" bestFit="1" customWidth="1"/>
    <col min="10" max="10" width="65" style="1" bestFit="1" customWidth="1"/>
    <col min="11" max="11" width="5" style="1" customWidth="1"/>
    <col min="12" max="12" width="19" style="1" customWidth="1"/>
    <col min="13" max="13" width="17.77734375" style="2" customWidth="1"/>
    <col min="14" max="14" width="8.5546875" style="2" customWidth="1"/>
    <col min="15" max="17" width="17.77734375" style="2" customWidth="1"/>
    <col min="18" max="18" width="17.77734375" style="3" customWidth="1"/>
    <col min="19" max="21" width="17.77734375" customWidth="1"/>
  </cols>
  <sheetData>
    <row r="1" spans="1:22" ht="15" thickBot="1" x14ac:dyDescent="0.35">
      <c r="D1" s="7" t="s">
        <v>13</v>
      </c>
    </row>
    <row r="2" spans="1:22" x14ac:dyDescent="0.3">
      <c r="A2" t="s">
        <v>0</v>
      </c>
      <c r="B2" s="7" t="s">
        <v>1</v>
      </c>
      <c r="D2" s="7" t="s">
        <v>14</v>
      </c>
      <c r="E2" s="1" t="s">
        <v>9</v>
      </c>
      <c r="F2" s="4" t="s">
        <v>17</v>
      </c>
      <c r="H2" s="6" t="s">
        <v>2</v>
      </c>
      <c r="I2" s="6"/>
      <c r="L2" s="25" t="s">
        <v>24</v>
      </c>
      <c r="M2" s="26"/>
      <c r="O2" s="8" t="s">
        <v>27</v>
      </c>
      <c r="P2" s="9" t="s">
        <v>28</v>
      </c>
      <c r="Q2" s="9" t="s">
        <v>29</v>
      </c>
      <c r="R2" s="9" t="s">
        <v>30</v>
      </c>
      <c r="S2" s="9" t="s">
        <v>31</v>
      </c>
      <c r="T2" s="10" t="s">
        <v>32</v>
      </c>
    </row>
    <row r="3" spans="1:22" x14ac:dyDescent="0.3">
      <c r="B3" s="7">
        <v>34434556735</v>
      </c>
      <c r="D3" s="7" t="s">
        <v>14</v>
      </c>
      <c r="F3" s="4"/>
      <c r="H3" s="6" t="s">
        <v>3</v>
      </c>
      <c r="I3" s="6" t="s">
        <v>7</v>
      </c>
      <c r="J3" s="1" t="s">
        <v>23</v>
      </c>
      <c r="L3" s="22" t="s">
        <v>25</v>
      </c>
      <c r="M3" s="24" t="s">
        <v>38</v>
      </c>
      <c r="O3" s="8">
        <v>1</v>
      </c>
      <c r="P3" s="9" t="s">
        <v>39</v>
      </c>
      <c r="Q3" s="9">
        <f>CODE(P3)</f>
        <v>65</v>
      </c>
      <c r="R3" s="9" t="s">
        <v>33</v>
      </c>
      <c r="S3" s="11">
        <f>IF(Q3&lt;100,Q3*10,Q3)</f>
        <v>650</v>
      </c>
      <c r="T3" s="12">
        <f>MID(S3,1,1)+MID(S3,2,1)+MID(S3,3,1)</f>
        <v>11</v>
      </c>
      <c r="V3" t="s">
        <v>45</v>
      </c>
    </row>
    <row r="4" spans="1:22" x14ac:dyDescent="0.3">
      <c r="B4" s="7">
        <v>45353454678</v>
      </c>
      <c r="D4" s="7" t="s">
        <v>14</v>
      </c>
      <c r="H4" s="6" t="s">
        <v>4</v>
      </c>
      <c r="I4" s="6" t="s">
        <v>7</v>
      </c>
      <c r="L4" s="22" t="s">
        <v>26</v>
      </c>
      <c r="M4" s="21">
        <v>5</v>
      </c>
      <c r="O4" s="13">
        <v>2</v>
      </c>
      <c r="P4" s="4" t="s">
        <v>40</v>
      </c>
      <c r="Q4" s="4">
        <f t="shared" ref="Q4:Q12" si="0">CODE(P4)</f>
        <v>66</v>
      </c>
      <c r="R4" s="4" t="s">
        <v>34</v>
      </c>
      <c r="S4" s="14">
        <f>IF((2*Q4)&lt;100,(2*Q4)*10,Q4*2)</f>
        <v>132</v>
      </c>
      <c r="T4" s="12">
        <f t="shared" ref="T4:T12" si="1">MID(S4,1,1)+MID(S4,2,1)+MID(S4,3,1)</f>
        <v>6</v>
      </c>
    </row>
    <row r="5" spans="1:22" x14ac:dyDescent="0.3">
      <c r="B5" s="7" t="s">
        <v>1</v>
      </c>
      <c r="D5" s="7" t="s">
        <v>14</v>
      </c>
      <c r="H5" s="6" t="s">
        <v>5</v>
      </c>
      <c r="I5" s="6" t="s">
        <v>7</v>
      </c>
      <c r="L5" s="23" t="s">
        <v>36</v>
      </c>
      <c r="M5" s="21" t="s">
        <v>44</v>
      </c>
      <c r="O5" s="13">
        <v>3</v>
      </c>
      <c r="P5" s="4" t="s">
        <v>41</v>
      </c>
      <c r="Q5" s="4">
        <f t="shared" si="0"/>
        <v>67</v>
      </c>
      <c r="R5" s="4" t="s">
        <v>33</v>
      </c>
      <c r="S5" s="14">
        <f>IF(Q5&lt;100,Q5*10,Q5)</f>
        <v>670</v>
      </c>
      <c r="T5" s="12">
        <f t="shared" si="1"/>
        <v>13</v>
      </c>
    </row>
    <row r="6" spans="1:22" x14ac:dyDescent="0.3">
      <c r="B6" s="7">
        <v>34434556735</v>
      </c>
      <c r="D6" s="7" t="s">
        <v>14</v>
      </c>
      <c r="H6" s="6" t="s">
        <v>6</v>
      </c>
      <c r="I6" s="6" t="s">
        <v>7</v>
      </c>
      <c r="M6"/>
      <c r="O6" s="13">
        <v>4</v>
      </c>
      <c r="P6" s="4" t="s">
        <v>42</v>
      </c>
      <c r="Q6" s="4">
        <f t="shared" si="0"/>
        <v>68</v>
      </c>
      <c r="R6" s="4" t="s">
        <v>34</v>
      </c>
      <c r="S6" s="14">
        <f>IF((2*Q6)&lt;100,(2*Q6)*10,Q6*2)</f>
        <v>136</v>
      </c>
      <c r="T6" s="12">
        <f t="shared" si="1"/>
        <v>10</v>
      </c>
    </row>
    <row r="7" spans="1:22" x14ac:dyDescent="0.3">
      <c r="B7" s="7" t="s">
        <v>1</v>
      </c>
      <c r="D7" s="7" t="s">
        <v>14</v>
      </c>
      <c r="H7" s="6" t="s">
        <v>8</v>
      </c>
      <c r="I7" s="6" t="s">
        <v>7</v>
      </c>
      <c r="M7"/>
      <c r="O7" s="13">
        <v>5</v>
      </c>
      <c r="P7" s="4" t="s">
        <v>43</v>
      </c>
      <c r="Q7" s="4">
        <f t="shared" si="0"/>
        <v>69</v>
      </c>
      <c r="R7" s="4" t="s">
        <v>33</v>
      </c>
      <c r="S7" s="14">
        <f>IF(Q7&lt;100,Q7*10,Q7)</f>
        <v>690</v>
      </c>
      <c r="T7" s="12">
        <f t="shared" si="1"/>
        <v>15</v>
      </c>
    </row>
    <row r="8" spans="1:22" x14ac:dyDescent="0.3">
      <c r="B8" s="7" t="s">
        <v>22</v>
      </c>
      <c r="D8" s="7" t="s">
        <v>14</v>
      </c>
      <c r="H8" s="4" t="s">
        <v>10</v>
      </c>
      <c r="I8" s="4" t="s">
        <v>7</v>
      </c>
      <c r="M8"/>
      <c r="O8" s="13">
        <v>6</v>
      </c>
      <c r="P8" s="4" t="s">
        <v>37</v>
      </c>
      <c r="Q8" s="4">
        <f t="shared" si="0"/>
        <v>70</v>
      </c>
      <c r="R8" s="4" t="s">
        <v>34</v>
      </c>
      <c r="S8" s="14">
        <f>IF((2*Q8)&lt;100,(2*Q8)*10,Q8*2)</f>
        <v>140</v>
      </c>
      <c r="T8" s="12">
        <f t="shared" si="1"/>
        <v>5</v>
      </c>
    </row>
    <row r="9" spans="1:22" x14ac:dyDescent="0.3">
      <c r="B9" s="7" t="s">
        <v>1</v>
      </c>
      <c r="D9" s="7" t="s">
        <v>14</v>
      </c>
      <c r="H9" s="5" t="s">
        <v>11</v>
      </c>
      <c r="I9" s="5" t="s">
        <v>7</v>
      </c>
      <c r="J9" s="1" t="s">
        <v>18</v>
      </c>
      <c r="M9"/>
      <c r="O9" s="13">
        <v>7</v>
      </c>
      <c r="P9" s="4">
        <v>1</v>
      </c>
      <c r="Q9" s="4">
        <f t="shared" si="0"/>
        <v>49</v>
      </c>
      <c r="R9" s="4" t="s">
        <v>33</v>
      </c>
      <c r="S9" s="14">
        <f>IF(Q9&lt;100,Q9*10,Q9)</f>
        <v>490</v>
      </c>
      <c r="T9" s="12">
        <f t="shared" si="1"/>
        <v>13</v>
      </c>
    </row>
    <row r="10" spans="1:22" x14ac:dyDescent="0.3">
      <c r="B10" s="7">
        <v>3443455673</v>
      </c>
      <c r="D10" s="7" t="s">
        <v>14</v>
      </c>
      <c r="H10" s="5" t="s">
        <v>12</v>
      </c>
      <c r="I10" s="5" t="s">
        <v>15</v>
      </c>
      <c r="J10" s="1" t="s">
        <v>16</v>
      </c>
      <c r="M10"/>
      <c r="O10" s="13">
        <v>8</v>
      </c>
      <c r="P10" s="4">
        <v>2</v>
      </c>
      <c r="Q10" s="4">
        <f t="shared" si="0"/>
        <v>50</v>
      </c>
      <c r="R10" s="4" t="s">
        <v>34</v>
      </c>
      <c r="S10" s="14">
        <f>IF((2*Q10)&lt;100,(2*Q10)*10,Q10*2)</f>
        <v>100</v>
      </c>
      <c r="T10" s="12">
        <f t="shared" si="1"/>
        <v>1</v>
      </c>
    </row>
    <row r="11" spans="1:22" x14ac:dyDescent="0.3">
      <c r="B11" s="7">
        <v>45353454678</v>
      </c>
      <c r="D11" s="7" t="s">
        <v>14</v>
      </c>
      <c r="H11" s="4" t="s">
        <v>19</v>
      </c>
      <c r="I11" s="4" t="s">
        <v>7</v>
      </c>
      <c r="M11"/>
      <c r="O11" s="13">
        <v>9</v>
      </c>
      <c r="P11" s="4">
        <v>3</v>
      </c>
      <c r="Q11" s="4">
        <f t="shared" si="0"/>
        <v>51</v>
      </c>
      <c r="R11" s="4" t="s">
        <v>33</v>
      </c>
      <c r="S11" s="14">
        <f>IF(Q11&lt;100,Q11*10,Q11)</f>
        <v>510</v>
      </c>
      <c r="T11" s="12">
        <f t="shared" si="1"/>
        <v>6</v>
      </c>
    </row>
    <row r="12" spans="1:22" ht="15" thickBot="1" x14ac:dyDescent="0.35">
      <c r="B12" s="7" t="s">
        <v>1</v>
      </c>
      <c r="D12" s="7" t="s">
        <v>14</v>
      </c>
      <c r="H12" s="4" t="s">
        <v>20</v>
      </c>
      <c r="I12" s="4" t="s">
        <v>7</v>
      </c>
      <c r="M12"/>
      <c r="O12" s="15">
        <v>10</v>
      </c>
      <c r="P12" s="16">
        <v>4</v>
      </c>
      <c r="Q12" s="16">
        <f t="shared" si="0"/>
        <v>52</v>
      </c>
      <c r="R12" s="16" t="s">
        <v>34</v>
      </c>
      <c r="S12" s="17">
        <f>IF((2*Q12)&lt;100,(2*Q12)*10,Q12*2)</f>
        <v>104</v>
      </c>
      <c r="T12" s="18">
        <f t="shared" si="1"/>
        <v>5</v>
      </c>
    </row>
    <row r="13" spans="1:22" x14ac:dyDescent="0.3">
      <c r="B13" s="7">
        <v>34434556735</v>
      </c>
      <c r="D13" s="7" t="s">
        <v>14</v>
      </c>
      <c r="H13" s="1" t="s">
        <v>21</v>
      </c>
      <c r="I13" s="1" t="s">
        <v>7</v>
      </c>
      <c r="M13"/>
      <c r="O13" s="4"/>
      <c r="P13" s="4"/>
      <c r="Q13" s="4"/>
      <c r="R13" s="4"/>
      <c r="S13" s="4"/>
      <c r="T13" s="19" t="s">
        <v>35</v>
      </c>
    </row>
    <row r="14" spans="1:22" ht="15" thickBot="1" x14ac:dyDescent="0.35">
      <c r="H14" s="2"/>
      <c r="M14"/>
      <c r="O14" s="4"/>
      <c r="P14" s="4"/>
      <c r="Q14" s="4"/>
      <c r="R14" s="4"/>
      <c r="S14" s="4"/>
      <c r="T14" s="20">
        <f>SUM(T3:T12)</f>
        <v>85</v>
      </c>
    </row>
    <row r="15" spans="1:22" x14ac:dyDescent="0.3">
      <c r="M15"/>
      <c r="N15"/>
      <c r="O15"/>
      <c r="P15"/>
      <c r="Q15"/>
      <c r="R15"/>
    </row>
    <row r="16" spans="1:22" x14ac:dyDescent="0.3">
      <c r="M16"/>
      <c r="N16"/>
      <c r="O16"/>
      <c r="P16"/>
      <c r="Q16"/>
      <c r="R16"/>
    </row>
    <row r="17" spans="13:19" x14ac:dyDescent="0.3">
      <c r="M17"/>
      <c r="N17"/>
      <c r="O17"/>
      <c r="P17"/>
      <c r="Q17"/>
      <c r="R17"/>
    </row>
    <row r="18" spans="13:19" ht="19.2" x14ac:dyDescent="0.45">
      <c r="S18" s="27"/>
    </row>
    <row r="21" spans="13:19" x14ac:dyDescent="0.3">
      <c r="M21"/>
      <c r="N21"/>
      <c r="O21"/>
      <c r="P21"/>
      <c r="Q21"/>
      <c r="R21"/>
    </row>
    <row r="22" spans="13:19" x14ac:dyDescent="0.3">
      <c r="M22"/>
      <c r="N22"/>
      <c r="O22"/>
      <c r="P22"/>
      <c r="Q22"/>
      <c r="R22"/>
    </row>
    <row r="23" spans="13:19" x14ac:dyDescent="0.3">
      <c r="M23"/>
      <c r="N23"/>
      <c r="O23"/>
      <c r="P23"/>
      <c r="Q23"/>
      <c r="R23"/>
    </row>
    <row r="24" spans="13:19" x14ac:dyDescent="0.3">
      <c r="M24"/>
      <c r="N24"/>
      <c r="O24"/>
      <c r="P24"/>
      <c r="Q24"/>
      <c r="R24"/>
    </row>
    <row r="25" spans="13:19" x14ac:dyDescent="0.3">
      <c r="M25"/>
      <c r="N25"/>
      <c r="O25"/>
      <c r="P25"/>
      <c r="Q25"/>
      <c r="R25"/>
    </row>
    <row r="26" spans="13:19" x14ac:dyDescent="0.3">
      <c r="M26"/>
      <c r="N26"/>
      <c r="O26"/>
      <c r="P26"/>
      <c r="Q26"/>
      <c r="R26"/>
    </row>
    <row r="27" spans="13:19" x14ac:dyDescent="0.3">
      <c r="M27"/>
      <c r="N27"/>
      <c r="O27"/>
      <c r="P27"/>
      <c r="Q27"/>
      <c r="R27"/>
    </row>
    <row r="28" spans="13:19" x14ac:dyDescent="0.3">
      <c r="M28"/>
      <c r="N28"/>
      <c r="O28"/>
      <c r="P28"/>
      <c r="Q28"/>
      <c r="R28"/>
    </row>
    <row r="29" spans="13:19" x14ac:dyDescent="0.3">
      <c r="M29"/>
      <c r="N29"/>
      <c r="O29"/>
      <c r="P29"/>
      <c r="Q29"/>
      <c r="R29"/>
    </row>
    <row r="30" spans="13:19" x14ac:dyDescent="0.3">
      <c r="M30"/>
      <c r="N30"/>
      <c r="O30"/>
      <c r="P30"/>
      <c r="Q30"/>
      <c r="R30"/>
    </row>
    <row r="31" spans="13:19" x14ac:dyDescent="0.3">
      <c r="M31"/>
      <c r="N31"/>
      <c r="O31"/>
      <c r="P31"/>
      <c r="Q31"/>
      <c r="R31"/>
    </row>
    <row r="32" spans="13:19" x14ac:dyDescent="0.3">
      <c r="M32"/>
      <c r="N32"/>
      <c r="O32"/>
      <c r="P32"/>
      <c r="Q32"/>
      <c r="R32"/>
    </row>
    <row r="33" spans="13:18" x14ac:dyDescent="0.3">
      <c r="M33"/>
      <c r="N33"/>
      <c r="O33"/>
      <c r="P33"/>
      <c r="Q33"/>
      <c r="R33"/>
    </row>
    <row r="34" spans="13:18" x14ac:dyDescent="0.3">
      <c r="M34"/>
      <c r="N34"/>
      <c r="O34"/>
      <c r="P34"/>
      <c r="Q34"/>
      <c r="R34"/>
    </row>
    <row r="35" spans="13:18" x14ac:dyDescent="0.3">
      <c r="M35"/>
      <c r="N35"/>
      <c r="O35"/>
      <c r="P35"/>
      <c r="Q35"/>
      <c r="R35"/>
    </row>
    <row r="36" spans="13:18" x14ac:dyDescent="0.3">
      <c r="M36"/>
      <c r="N36"/>
      <c r="O36"/>
      <c r="P36"/>
      <c r="Q36"/>
      <c r="R36"/>
    </row>
    <row r="37" spans="13:18" x14ac:dyDescent="0.3">
      <c r="M37"/>
      <c r="N37"/>
      <c r="O37"/>
      <c r="P37"/>
      <c r="Q37"/>
      <c r="R37"/>
    </row>
    <row r="38" spans="13:18" x14ac:dyDescent="0.3">
      <c r="M38"/>
      <c r="N38"/>
      <c r="O38"/>
      <c r="P38"/>
      <c r="Q38"/>
      <c r="R38"/>
    </row>
    <row r="39" spans="13:18" x14ac:dyDescent="0.3">
      <c r="M39"/>
      <c r="N39"/>
      <c r="O39"/>
      <c r="P39"/>
      <c r="Q39"/>
      <c r="R3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sumberechnen">
                <anchor moveWithCells="1" sizeWithCells="1">
                  <from>
                    <xdr:col>4</xdr:col>
                    <xdr:colOff>7620</xdr:colOff>
                    <xdr:row>11</xdr:row>
                    <xdr:rowOff>68580</xdr:rowOff>
                  </from>
                  <to>
                    <xdr:col>5</xdr:col>
                    <xdr:colOff>952500</xdr:colOff>
                    <xdr:row>15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4</xdr:col>
                    <xdr:colOff>15240</xdr:colOff>
                    <xdr:row>15</xdr:row>
                    <xdr:rowOff>99060</xdr:rowOff>
                  </from>
                  <to>
                    <xdr:col>5</xdr:col>
                    <xdr:colOff>952500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port">
                <anchor moveWithCells="1" sizeWithCells="1">
                  <from>
                    <xdr:col>4</xdr:col>
                    <xdr:colOff>7620</xdr:colOff>
                    <xdr:row>3</xdr:row>
                    <xdr:rowOff>22860</xdr:rowOff>
                  </from>
                  <to>
                    <xdr:col>5</xdr:col>
                    <xdr:colOff>952500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hecksumPrüfer">
                <anchor moveWithCells="1" sizeWithCells="1">
                  <from>
                    <xdr:col>4</xdr:col>
                    <xdr:colOff>7620</xdr:colOff>
                    <xdr:row>7</xdr:row>
                    <xdr:rowOff>45720</xdr:rowOff>
                  </from>
                  <to>
                    <xdr:col>5</xdr:col>
                    <xdr:colOff>952500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3" r:id="rId8" name="Button 1589">
              <controlPr defaultSize="0" print="0" autoFill="0" autoPict="0" macro="[0]!ChecksumTabelle">
                <anchor moveWithCells="1" sizeWithCells="1">
                  <from>
                    <xdr:col>11</xdr:col>
                    <xdr:colOff>7620</xdr:colOff>
                    <xdr:row>5</xdr:row>
                    <xdr:rowOff>15240</xdr:rowOff>
                  </from>
                  <to>
                    <xdr:col>11</xdr:col>
                    <xdr:colOff>1287780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2" r:id="rId9" name="Kontrollkästchen 1">
              <controlPr defaultSize="0" autoFill="0" autoLine="0" autoPict="0">
                <anchor moveWithCells="1">
                  <from>
                    <xdr:col>2</xdr:col>
                    <xdr:colOff>30480</xdr:colOff>
                    <xdr:row>0</xdr:row>
                    <xdr:rowOff>167640</xdr:rowOff>
                  </from>
                  <to>
                    <xdr:col>2</xdr:col>
                    <xdr:colOff>411480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10" name="Kontrollkästchen 2">
              <controlPr defaultSize="0" autoFill="0" autoLine="0" autoPict="0">
                <anchor moveWithCells="1">
                  <from>
                    <xdr:col>2</xdr:col>
                    <xdr:colOff>30480</xdr:colOff>
                    <xdr:row>1</xdr:row>
                    <xdr:rowOff>160020</xdr:rowOff>
                  </from>
                  <to>
                    <xdr:col>2</xdr:col>
                    <xdr:colOff>411480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" r:id="rId11" name="Kontrollkästchen 3">
              <controlPr defaultSize="0" autoFill="0" autoLine="0" autoPict="0">
                <anchor moveWithCells="1">
                  <from>
                    <xdr:col>2</xdr:col>
                    <xdr:colOff>30480</xdr:colOff>
                    <xdr:row>2</xdr:row>
                    <xdr:rowOff>160020</xdr:rowOff>
                  </from>
                  <to>
                    <xdr:col>2</xdr:col>
                    <xdr:colOff>411480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5" r:id="rId12" name="Kontrollkästchen 4">
              <controlPr defaultSize="0" autoFill="0" autoLine="0" autoPict="0">
                <anchor moveWithCells="1">
                  <from>
                    <xdr:col>2</xdr:col>
                    <xdr:colOff>30480</xdr:colOff>
                    <xdr:row>3</xdr:row>
                    <xdr:rowOff>160020</xdr:rowOff>
                  </from>
                  <to>
                    <xdr:col>2</xdr:col>
                    <xdr:colOff>411480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6" r:id="rId13" name="Kontrollkästchen 5">
              <controlPr defaultSize="0" autoFill="0" autoLine="0" autoPict="0">
                <anchor moveWithCells="1">
                  <from>
                    <xdr:col>2</xdr:col>
                    <xdr:colOff>30480</xdr:colOff>
                    <xdr:row>4</xdr:row>
                    <xdr:rowOff>160020</xdr:rowOff>
                  </from>
                  <to>
                    <xdr:col>2</xdr:col>
                    <xdr:colOff>411480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14" name="Kontrollkästchen 6">
              <controlPr defaultSize="0" autoFill="0" autoLine="0" autoPict="0">
                <anchor moveWithCells="1">
                  <from>
                    <xdr:col>2</xdr:col>
                    <xdr:colOff>30480</xdr:colOff>
                    <xdr:row>5</xdr:row>
                    <xdr:rowOff>160020</xdr:rowOff>
                  </from>
                  <to>
                    <xdr:col>2</xdr:col>
                    <xdr:colOff>411480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8" r:id="rId15" name="Kontrollkästchen 7">
              <controlPr defaultSize="0" autoFill="0" autoLine="0" autoPict="0">
                <anchor moveWithCells="1">
                  <from>
                    <xdr:col>2</xdr:col>
                    <xdr:colOff>30480</xdr:colOff>
                    <xdr:row>6</xdr:row>
                    <xdr:rowOff>160020</xdr:rowOff>
                  </from>
                  <to>
                    <xdr:col>2</xdr:col>
                    <xdr:colOff>411480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9" r:id="rId16" name="Kontrollkästchen 8">
              <controlPr defaultSize="0" autoFill="0" autoLine="0" autoPict="0">
                <anchor moveWithCells="1">
                  <from>
                    <xdr:col>2</xdr:col>
                    <xdr:colOff>30480</xdr:colOff>
                    <xdr:row>7</xdr:row>
                    <xdr:rowOff>160020</xdr:rowOff>
                  </from>
                  <to>
                    <xdr:col>2</xdr:col>
                    <xdr:colOff>411480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0" r:id="rId17" name="Kontrollkästchen 9">
              <controlPr defaultSize="0" autoFill="0" autoLine="0" autoPict="0">
                <anchor moveWithCells="1">
                  <from>
                    <xdr:col>2</xdr:col>
                    <xdr:colOff>30480</xdr:colOff>
                    <xdr:row>8</xdr:row>
                    <xdr:rowOff>160020</xdr:rowOff>
                  </from>
                  <to>
                    <xdr:col>2</xdr:col>
                    <xdr:colOff>411480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1" r:id="rId18" name="Kontrollkästchen 10">
              <controlPr defaultSize="0" autoFill="0" autoLine="0" autoPict="0">
                <anchor moveWithCells="1">
                  <from>
                    <xdr:col>2</xdr:col>
                    <xdr:colOff>30480</xdr:colOff>
                    <xdr:row>9</xdr:row>
                    <xdr:rowOff>160020</xdr:rowOff>
                  </from>
                  <to>
                    <xdr:col>2</xdr:col>
                    <xdr:colOff>411480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2" r:id="rId19" name="Kontrollkästchen 11">
              <controlPr defaultSize="0" autoFill="0" autoLine="0" autoPict="0">
                <anchor moveWithCells="1">
                  <from>
                    <xdr:col>2</xdr:col>
                    <xdr:colOff>30480</xdr:colOff>
                    <xdr:row>10</xdr:row>
                    <xdr:rowOff>160020</xdr:rowOff>
                  </from>
                  <to>
                    <xdr:col>2</xdr:col>
                    <xdr:colOff>411480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3" r:id="rId20" name="Kontrollkästchen 12">
              <controlPr defaultSize="0" autoFill="0" autoLine="0" autoPict="0">
                <anchor moveWithCells="1">
                  <from>
                    <xdr:col>2</xdr:col>
                    <xdr:colOff>30480</xdr:colOff>
                    <xdr:row>11</xdr:row>
                    <xdr:rowOff>167640</xdr:rowOff>
                  </from>
                  <to>
                    <xdr:col>2</xdr:col>
                    <xdr:colOff>411480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NMI Sammlung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Kröner, Paul</dc:creator>
  <cp:lastModifiedBy>Kröner, Paul (Praktikant, GPRA601)</cp:lastModifiedBy>
  <dcterms:created xsi:type="dcterms:W3CDTF">2015-06-05T18:19:34Z</dcterms:created>
  <dcterms:modified xsi:type="dcterms:W3CDTF">2022-01-03T09:38:04Z</dcterms:modified>
</cp:coreProperties>
</file>