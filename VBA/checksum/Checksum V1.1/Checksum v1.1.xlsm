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S:\2 zu bearbeitende Dokumente\checksum\Checksum V1.1\"/>
    </mc:Choice>
  </mc:AlternateContent>
  <xr:revisionPtr revIDLastSave="0" documentId="13_ncr:1_{0AA8CA93-3625-4EF9-9A6A-AFE61491C00C}" xr6:coauthVersionLast="47" xr6:coauthVersionMax="47" xr10:uidLastSave="{00000000-0000-0000-0000-000000000000}"/>
  <bookViews>
    <workbookView xWindow="28680" yWindow="-120" windowWidth="38640" windowHeight="21240" xr2:uid="{00000000-000D-0000-FFFF-FFFF00000000}"/>
  </bookViews>
  <sheets>
    <sheet name="NMI Sammlung" sheetId="1" r:id="rId1"/>
    <sheet name="Tutorial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2" l="1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  <c r="G5" i="2"/>
  <c r="I5" i="2" s="1"/>
  <c r="G4" i="2"/>
  <c r="I4" i="2" s="1"/>
  <c r="G3" i="2"/>
  <c r="I3" i="2" s="1"/>
  <c r="J10" i="2" a="1"/>
  <c r="J6" i="2" a="1"/>
  <c r="J11" i="2" a="1"/>
  <c r="J7" i="2" a="1"/>
  <c r="J8" i="2" a="1"/>
  <c r="J3" i="2" a="1"/>
  <c r="J4" i="2" a="1"/>
  <c r="J9" i="2" a="1"/>
  <c r="J5" i="2" a="1"/>
  <c r="J12" i="2" a="1"/>
  <c r="J11" i="2" l="1"/>
  <c r="J7" i="2"/>
  <c r="J6" i="2"/>
  <c r="J12" i="2"/>
  <c r="J10" i="2"/>
  <c r="J9" i="2"/>
  <c r="J5" i="2"/>
  <c r="J8" i="2"/>
  <c r="J4" i="2"/>
  <c r="J3" i="2"/>
  <c r="J14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<sst xmlns="http://schemas.openxmlformats.org/spreadsheetml/2006/main" count="60" uniqueCount="39">
  <si>
    <t>hier NMI eingeben:</t>
  </si>
  <si>
    <t>1234C6789A3</t>
  </si>
  <si>
    <t>Hier Exportpfad angeben:</t>
  </si>
  <si>
    <t>Meldung zu Checksum</t>
  </si>
  <si>
    <t>korrekt</t>
  </si>
  <si>
    <t>hier Tutorial / Test</t>
  </si>
  <si>
    <t>Hier NMI eingeben:</t>
  </si>
  <si>
    <t>Berechnete Checksum</t>
  </si>
  <si>
    <t>Stelle</t>
  </si>
  <si>
    <t>Inhalt</t>
  </si>
  <si>
    <t>ASCII-Wert</t>
  </si>
  <si>
    <t>2x ?</t>
  </si>
  <si>
    <t>$asciiVal</t>
  </si>
  <si>
    <t>Total =</t>
  </si>
  <si>
    <t>n</t>
  </si>
  <si>
    <t>j</t>
  </si>
  <si>
    <t>Summe:</t>
  </si>
  <si>
    <t>komplette NMI mit CS</t>
  </si>
  <si>
    <t>F</t>
  </si>
  <si>
    <t>A</t>
  </si>
  <si>
    <t>B</t>
  </si>
  <si>
    <t>C</t>
  </si>
  <si>
    <t>D</t>
  </si>
  <si>
    <t>E</t>
  </si>
  <si>
    <t>Log</t>
  </si>
  <si>
    <t>S:\2 zu bearbeitende Dokumente\checksum\0 Export CSV</t>
  </si>
  <si>
    <t xml:space="preserve"> </t>
  </si>
  <si>
    <t>NMI zu kurz</t>
  </si>
  <si>
    <t>1234C678902</t>
  </si>
  <si>
    <t>Es wurden 7 Zeilen überprüft</t>
  </si>
  <si>
    <t>5 waren Korrekt</t>
  </si>
  <si>
    <t>2 waren zu kurz</t>
  </si>
  <si>
    <t>0 hatten keine Checksum</t>
  </si>
  <si>
    <t>0 hatten falsche Checksum</t>
  </si>
  <si>
    <t>Es wurden 5 Checksums gebildet</t>
  </si>
  <si>
    <t>LogExport:</t>
  </si>
  <si>
    <t>S:\2 zu bearbeitende Dokumente\checksum\0 Logging\</t>
  </si>
  <si>
    <t>ABCDEF1236</t>
  </si>
  <si>
    <t>ABCDEF12361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</si>
</sst>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1"/>
      <color rgb="FF000000"/>
      <name val="Calibri"/>
      <family val="2"/>
    </font>
    <font>
      <sz val="12"/>
      <color rgb="FF222222"/>
      <name val="Segoe UI"/>
      <family val="2"/>
    </font>
    <font>
      <sz val="9"/>
      <color rgb="FF444444"/>
      <name val="Courier New"/>
      <family val="3"/>
    </font>
    <font>
      <sz val="8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2" borderId="13" xfId="0" applyFill="1" applyBorder="1"/>
    <xf numFmtId="0" fontId="0" fillId="2" borderId="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6" xfId="0" applyFill="1" applyBorder="1"/>
    <xf numFmtId="0" fontId="3" fillId="0" borderId="0" xfId="0" applyFont="1"/>
    <xf numFmtId="0" fontId="0" fillId="2" borderId="13" xfId="0" applyFill="1" applyBorder="1" applyAlignment="1">
      <alignment horizontal="center"/>
    </xf>
    <xf numFmtId="0" fontId="4" fillId="0" borderId="0" xfId="0" applyFont="1"/>
    <xf numFmtId="0" fontId="0" fillId="3" borderId="0" xfId="0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321945</xdr:colOff>
          <xdr:row>13</xdr:row>
          <xdr:rowOff>0</xdr:rowOff>
        </xdr:from>
        <xdr:to>
          <xdr:col>5</xdr:col>
          <xdr:colOff>321945</xdr:colOff>
          <xdr:row>16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321945</xdr:colOff>
          <xdr:row>10</xdr:row>
          <xdr:rowOff>0</xdr:rowOff>
        </xdr:from>
        <xdr:to>
          <xdr:col>5</xdr:col>
          <xdr:colOff>321945</xdr:colOff>
          <xdr:row>13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Checksum Prüfen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321945</xdr:colOff>
          <xdr:row>4</xdr:row>
          <xdr:rowOff>0</xdr:rowOff>
        </xdr:from>
        <xdr:to>
          <xdr:col>5</xdr:col>
          <xdr:colOff>321945</xdr:colOff>
          <xdr:row>7</xdr:row>
          <xdr:rowOff>0</xdr:rowOff>
        </xdr:to>
        <xdr:sp macro="" textlink="">
          <xdr:nvSpPr>
            <xdr:cNvPr id="4413" name="Button 2365" hidden="1">
              <a:extLst>
                <a:ext uri="{63B3BB69-23CF-44E3-9099-C40C66FF867C}">
                  <a14:compatExt spid="_x0000_s4413"/>
                </a:ext>
                <a:ext uri="{FF2B5EF4-FFF2-40B4-BE49-F238E27FC236}">
                  <a16:creationId xmlns:a16="http://schemas.microsoft.com/office/drawing/2014/main" id="{00000000-0008-0000-0000-00003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321945</xdr:colOff>
          <xdr:row>7</xdr:row>
          <xdr:rowOff>0</xdr:rowOff>
        </xdr:from>
        <xdr:to>
          <xdr:col>5</xdr:col>
          <xdr:colOff>321945</xdr:colOff>
          <xdr:row>10</xdr:row>
          <xdr:rowOff>0</xdr:rowOff>
        </xdr:to>
        <xdr:sp macro="" textlink="">
          <xdr:nvSpPr>
            <xdr:cNvPr id="4414" name="Button 2366" hidden="1">
              <a:extLst>
                <a:ext uri="{63B3BB69-23CF-44E3-9099-C40C66FF867C}">
                  <a14:compatExt spid="_x0000_s4414"/>
                </a:ext>
                <a:ext uri="{FF2B5EF4-FFF2-40B4-BE49-F238E27FC236}">
                  <a16:creationId xmlns:a16="http://schemas.microsoft.com/office/drawing/2014/main" id="{00000000-0008-0000-0000-00003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Checksum bilden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99060</xdr:rowOff>
        </xdr:from>
        <xdr:to>
          <xdr:col>5</xdr:col>
          <xdr:colOff>335280</xdr:colOff>
          <xdr:row>21</xdr:row>
          <xdr:rowOff>167640</xdr:rowOff>
        </xdr:to>
        <xdr:sp macro="" textlink="">
          <xdr:nvSpPr>
            <xdr:cNvPr id="4608" name="Button 2560" hidden="1">
              <a:extLst>
                <a:ext uri="{63B3BB69-23CF-44E3-9099-C40C66FF867C}">
                  <a14:compatExt spid="_x0000_s4608"/>
                </a:ext>
                <a:ext uri="{FF2B5EF4-FFF2-40B4-BE49-F238E27FC236}">
                  <a16:creationId xmlns:a16="http://schemas.microsoft.com/office/drawing/2014/main" id="{00000000-0008-0000-0000-00000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 ein/ausblenden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16</xdr:row>
          <xdr:rowOff>0</xdr:rowOff>
        </xdr:from>
        <xdr:to>
          <xdr:col>5</xdr:col>
          <xdr:colOff>335280</xdr:colOff>
          <xdr:row>18</xdr:row>
          <xdr:rowOff>99060</xdr:rowOff>
        </xdr:to>
        <xdr:sp macro="" textlink="">
          <xdr:nvSpPr>
            <xdr:cNvPr id="4861" name="Button 2813" hidden="1">
              <a:extLst>
                <a:ext uri="{63B3BB69-23CF-44E3-9099-C40C66FF867C}">
                  <a14:compatExt spid="_x0000_s4861"/>
                </a:ext>
                <a:ext uri="{FF2B5EF4-FFF2-40B4-BE49-F238E27FC236}">
                  <a16:creationId xmlns:a16="http://schemas.microsoft.com/office/drawing/2014/main" id="{00000000-0008-0000-0000-0000F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0</xdr:row>
          <xdr:rowOff>160020</xdr:rowOff>
        </xdr:from>
        <xdr:to>
          <xdr:col>2</xdr:col>
          <xdr:colOff>407670</xdr:colOff>
          <xdr:row>2</xdr:row>
          <xdr:rowOff>15240</xdr:rowOff>
        </xdr:to>
        <xdr:sp macro="" textlink="">
          <xdr:nvSpPr>
            <xdr:cNvPr id="4890" name="Kontrollkästchen 1" hidden="1">
              <a:extLst>
                <a:ext uri="{63B3BB69-23CF-44E3-9099-C40C66FF867C}">
                  <a14:compatExt spid="_x0000_s4890"/>
                </a:ext>
                <a:ext uri="{FF2B5EF4-FFF2-40B4-BE49-F238E27FC236}">
                  <a16:creationId xmlns:a16="http://schemas.microsoft.com/office/drawing/2014/main" id="{BBE7E54B-5052-45AE-A9CA-FC6A7992B4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</xdr:row>
          <xdr:rowOff>160020</xdr:rowOff>
        </xdr:from>
        <xdr:to>
          <xdr:col>2</xdr:col>
          <xdr:colOff>407670</xdr:colOff>
          <xdr:row>3</xdr:row>
          <xdr:rowOff>15240</xdr:rowOff>
        </xdr:to>
        <xdr:sp macro="" textlink="">
          <xdr:nvSpPr>
            <xdr:cNvPr id="4891" name="Kontrollkästchen 2" hidden="1">
              <a:extLst>
                <a:ext uri="{63B3BB69-23CF-44E3-9099-C40C66FF867C}">
                  <a14:compatExt spid="_x0000_s4891"/>
                </a:ext>
                <a:ext uri="{FF2B5EF4-FFF2-40B4-BE49-F238E27FC236}">
                  <a16:creationId xmlns:a16="http://schemas.microsoft.com/office/drawing/2014/main" id="{DB97B8E8-82ED-4C5D-A364-4F55583BB6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2</xdr:row>
          <xdr:rowOff>160020</xdr:rowOff>
        </xdr:from>
        <xdr:to>
          <xdr:col>2</xdr:col>
          <xdr:colOff>407670</xdr:colOff>
          <xdr:row>4</xdr:row>
          <xdr:rowOff>15240</xdr:rowOff>
        </xdr:to>
        <xdr:sp macro="" textlink="">
          <xdr:nvSpPr>
            <xdr:cNvPr id="4892" name="Kontrollkästchen 3" hidden="1">
              <a:extLst>
                <a:ext uri="{63B3BB69-23CF-44E3-9099-C40C66FF867C}">
                  <a14:compatExt spid="_x0000_s4892"/>
                </a:ext>
                <a:ext uri="{FF2B5EF4-FFF2-40B4-BE49-F238E27FC236}">
                  <a16:creationId xmlns:a16="http://schemas.microsoft.com/office/drawing/2014/main" id="{E2D2D917-9507-4317-AF66-8F0CD49E70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3</xdr:row>
          <xdr:rowOff>160020</xdr:rowOff>
        </xdr:from>
        <xdr:to>
          <xdr:col>2</xdr:col>
          <xdr:colOff>407670</xdr:colOff>
          <xdr:row>5</xdr:row>
          <xdr:rowOff>15240</xdr:rowOff>
        </xdr:to>
        <xdr:sp macro="" textlink="">
          <xdr:nvSpPr>
            <xdr:cNvPr id="4893" name="Kontrollkästchen 4" hidden="1">
              <a:extLst>
                <a:ext uri="{63B3BB69-23CF-44E3-9099-C40C66FF867C}">
                  <a14:compatExt spid="_x0000_s4893"/>
                </a:ext>
                <a:ext uri="{FF2B5EF4-FFF2-40B4-BE49-F238E27FC236}">
                  <a16:creationId xmlns:a16="http://schemas.microsoft.com/office/drawing/2014/main" id="{6B6ABAB1-4B7C-49AE-9E56-2B010F9085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4</xdr:row>
          <xdr:rowOff>175260</xdr:rowOff>
        </xdr:from>
        <xdr:to>
          <xdr:col>2</xdr:col>
          <xdr:colOff>407670</xdr:colOff>
          <xdr:row>6</xdr:row>
          <xdr:rowOff>26670</xdr:rowOff>
        </xdr:to>
        <xdr:sp macro="" textlink="">
          <xdr:nvSpPr>
            <xdr:cNvPr id="4894" name="Kontrollkästchen 5" hidden="1">
              <a:extLst>
                <a:ext uri="{63B3BB69-23CF-44E3-9099-C40C66FF867C}">
                  <a14:compatExt spid="_x0000_s4894"/>
                </a:ext>
                <a:ext uri="{FF2B5EF4-FFF2-40B4-BE49-F238E27FC236}">
                  <a16:creationId xmlns:a16="http://schemas.microsoft.com/office/drawing/2014/main" id="{661ED664-8CE0-44F9-8A82-91C530F68E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5</xdr:row>
          <xdr:rowOff>175260</xdr:rowOff>
        </xdr:from>
        <xdr:to>
          <xdr:col>2</xdr:col>
          <xdr:colOff>407670</xdr:colOff>
          <xdr:row>7</xdr:row>
          <xdr:rowOff>26670</xdr:rowOff>
        </xdr:to>
        <xdr:sp macro="" textlink="">
          <xdr:nvSpPr>
            <xdr:cNvPr id="4895" name="Kontrollkästchen 6" hidden="1">
              <a:extLst>
                <a:ext uri="{63B3BB69-23CF-44E3-9099-C40C66FF867C}">
                  <a14:compatExt spid="_x0000_s4895"/>
                </a:ext>
                <a:ext uri="{FF2B5EF4-FFF2-40B4-BE49-F238E27FC236}">
                  <a16:creationId xmlns:a16="http://schemas.microsoft.com/office/drawing/2014/main" id="{10B8A454-E70C-4865-8646-33DC3AE325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6</xdr:row>
          <xdr:rowOff>175260</xdr:rowOff>
        </xdr:from>
        <xdr:to>
          <xdr:col>2</xdr:col>
          <xdr:colOff>407670</xdr:colOff>
          <xdr:row>8</xdr:row>
          <xdr:rowOff>26670</xdr:rowOff>
        </xdr:to>
        <xdr:sp macro="" textlink="">
          <xdr:nvSpPr>
            <xdr:cNvPr id="4896" name="Kontrollkästchen 7" hidden="1">
              <a:extLst>
                <a:ext uri="{63B3BB69-23CF-44E3-9099-C40C66FF867C}">
                  <a14:compatExt spid="_x0000_s4896"/>
                </a:ext>
                <a:ext uri="{FF2B5EF4-FFF2-40B4-BE49-F238E27FC236}">
                  <a16:creationId xmlns:a16="http://schemas.microsoft.com/office/drawing/2014/main" id="{3FA3E9CD-4460-470B-98E3-6A4D2C1821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5</xdr:row>
          <xdr:rowOff>15240</xdr:rowOff>
        </xdr:from>
        <xdr:to>
          <xdr:col>1</xdr:col>
          <xdr:colOff>1287780</xdr:colOff>
          <xdr:row>7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Checksum Tutorial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39"/>
  <sheetViews>
    <sheetView tabSelected="1" workbookViewId="0">
      <selection activeCell="J33" sqref="J33"/>
    </sheetView>
  </sheetViews>
  <sheetFormatPr baseColWidth="10" defaultColWidth="8.88671875" defaultRowHeight="14.4" x14ac:dyDescent="0.3"/>
  <cols>
    <col min="1" max="1" width="16.5546875" bestFit="1" customWidth="1"/>
    <col min="2" max="2" width="12.21875" style="5" bestFit="1" customWidth="1"/>
    <col min="3" max="3" width="6.33203125" style="5" customWidth="1"/>
    <col min="4" max="4" width="19" style="5" customWidth="1"/>
    <col min="5" max="5" width="21.88671875" style="1" bestFit="1" customWidth="1"/>
    <col min="6" max="6" width="48.21875" style="1" bestFit="1" customWidth="1"/>
    <col min="7" max="7" width="4" style="1" customWidth="1"/>
    <col min="8" max="8" width="29.33203125" style="1" bestFit="1" customWidth="1"/>
    <col min="9" max="9" width="8.88671875" style="1" customWidth="1"/>
    <col min="10" max="10" width="38.6640625" style="1" bestFit="1" customWidth="1"/>
    <col min="11" max="11" width="21.6640625" style="1" bestFit="1" customWidth="1"/>
    <col min="12" max="12" width="8.88671875" style="1" customWidth="1"/>
    <col min="13" max="13" width="14" style="2" customWidth="1"/>
    <col min="14" max="17" width="10.77734375" style="2" customWidth="1"/>
    <col min="18" max="18" width="10.77734375" style="3" customWidth="1"/>
    <col min="19" max="22" width="10.77734375" customWidth="1"/>
  </cols>
  <sheetData>
    <row r="1" spans="1:18" x14ac:dyDescent="0.3">
      <c r="D1" s="5" t="s">
        <v>3</v>
      </c>
      <c r="H1" s="1" t="s">
        <v>26</v>
      </c>
    </row>
    <row r="2" spans="1:18" x14ac:dyDescent="0.3">
      <c r="A2" t="s">
        <v>0</v>
      </c>
      <c r="B2" s="5" t="s">
        <v>1</v>
      </c>
      <c r="D2" s="5" t="s">
        <v>4</v>
      </c>
      <c r="E2" s="1" t="s">
        <v>2</v>
      </c>
      <c r="F2" s="4" t="s">
        <v>25</v>
      </c>
      <c r="H2" s="1" t="s">
        <v>24</v>
      </c>
      <c r="M2" s="1"/>
    </row>
    <row r="3" spans="1:18" ht="14.4" customHeight="1" x14ac:dyDescent="0.3">
      <c r="B3" s="5">
        <v>34434556735</v>
      </c>
      <c r="D3" s="5" t="s">
        <v>4</v>
      </c>
      <c r="E3" s="1" t="s">
        <v>35</v>
      </c>
      <c r="F3" s="4" t="s">
        <v>36</v>
      </c>
      <c r="H3" s="27" t="s">
        <v>29</v>
      </c>
      <c r="L3" s="2"/>
      <c r="P3" s="3"/>
      <c r="Q3"/>
      <c r="R3"/>
    </row>
    <row r="4" spans="1:18" x14ac:dyDescent="0.3">
      <c r="B4" s="5">
        <v>45353454678</v>
      </c>
      <c r="D4" s="5" t="s">
        <v>4</v>
      </c>
      <c r="H4" s="27" t="s">
        <v>30</v>
      </c>
      <c r="Q4" s="3"/>
      <c r="R4"/>
    </row>
    <row r="5" spans="1:18" x14ac:dyDescent="0.3">
      <c r="B5" s="5" t="s">
        <v>28</v>
      </c>
      <c r="D5" s="5" t="s">
        <v>4</v>
      </c>
      <c r="H5" s="27" t="s">
        <v>31</v>
      </c>
      <c r="J5" s="2"/>
      <c r="K5" s="2"/>
      <c r="L5" s="2"/>
      <c r="N5" s="3"/>
      <c r="O5"/>
      <c r="P5"/>
      <c r="Q5"/>
      <c r="R5"/>
    </row>
    <row r="6" spans="1:18" x14ac:dyDescent="0.3">
      <c r="B6" s="5">
        <v>344345567</v>
      </c>
      <c r="D6" s="5" t="s">
        <v>27</v>
      </c>
      <c r="H6" s="27" t="s">
        <v>32</v>
      </c>
      <c r="J6" s="2"/>
      <c r="K6" s="2"/>
      <c r="L6" s="2"/>
      <c r="N6" s="3"/>
      <c r="O6"/>
      <c r="P6"/>
      <c r="Q6"/>
      <c r="R6"/>
    </row>
    <row r="7" spans="1:18" x14ac:dyDescent="0.3">
      <c r="B7" s="5">
        <v>12345670</v>
      </c>
      <c r="D7" s="5" t="s">
        <v>27</v>
      </c>
      <c r="H7" s="27" t="s">
        <v>33</v>
      </c>
      <c r="J7" s="2"/>
      <c r="K7" s="2"/>
      <c r="L7" s="2"/>
      <c r="N7" s="3"/>
      <c r="O7"/>
      <c r="P7"/>
      <c r="Q7"/>
      <c r="R7"/>
    </row>
    <row r="8" spans="1:18" x14ac:dyDescent="0.3">
      <c r="B8" s="5" t="s">
        <v>1</v>
      </c>
      <c r="D8" s="5" t="s">
        <v>4</v>
      </c>
      <c r="H8" s="27" t="s">
        <v>29</v>
      </c>
      <c r="J8" s="2"/>
      <c r="K8" s="2"/>
      <c r="L8" s="2"/>
      <c r="N8" s="3"/>
      <c r="O8"/>
      <c r="P8"/>
      <c r="Q8"/>
      <c r="R8"/>
    </row>
    <row r="9" spans="1:18" x14ac:dyDescent="0.3">
      <c r="H9" s="27" t="s">
        <v>30</v>
      </c>
      <c r="J9" s="2"/>
      <c r="K9" s="2"/>
      <c r="L9" s="2"/>
      <c r="N9" s="3"/>
      <c r="O9"/>
      <c r="P9"/>
      <c r="Q9"/>
      <c r="R9"/>
    </row>
    <row r="10" spans="1:18" x14ac:dyDescent="0.3">
      <c r="H10" s="27" t="s">
        <v>29</v>
      </c>
      <c r="J10" s="2"/>
      <c r="K10" s="2"/>
      <c r="L10" s="2"/>
      <c r="N10" s="3"/>
      <c r="O10"/>
      <c r="P10"/>
      <c r="Q10"/>
      <c r="R10"/>
    </row>
    <row r="11" spans="1:18" x14ac:dyDescent="0.3">
      <c r="H11" s="27" t="s">
        <v>30</v>
      </c>
      <c r="K11" s="2"/>
      <c r="L11" s="2"/>
      <c r="O11" s="3"/>
      <c r="P11"/>
      <c r="Q11"/>
      <c r="R11"/>
    </row>
    <row r="12" spans="1:18" x14ac:dyDescent="0.3">
      <c r="H12" s="27" t="s">
        <v>31</v>
      </c>
      <c r="K12" s="2"/>
      <c r="L12" s="2"/>
      <c r="O12" s="3"/>
      <c r="P12"/>
      <c r="Q12"/>
      <c r="R12"/>
    </row>
    <row r="13" spans="1:18" x14ac:dyDescent="0.3">
      <c r="H13" s="27" t="s">
        <v>32</v>
      </c>
      <c r="K13" s="2"/>
      <c r="L13" s="2"/>
      <c r="O13" s="3"/>
      <c r="P13"/>
      <c r="Q13"/>
      <c r="R13"/>
    </row>
    <row r="14" spans="1:18" x14ac:dyDescent="0.3">
      <c r="H14" s="27" t="s">
        <v>33</v>
      </c>
      <c r="K14" s="2"/>
      <c r="L14" s="2"/>
      <c r="O14" s="3"/>
      <c r="P14"/>
      <c r="Q14"/>
      <c r="R14"/>
    </row>
    <row r="15" spans="1:18" x14ac:dyDescent="0.3">
      <c r="H15" s="27" t="s">
        <v>34</v>
      </c>
      <c r="K15"/>
      <c r="L15"/>
      <c r="M15"/>
      <c r="N15"/>
      <c r="O15"/>
      <c r="P15"/>
      <c r="Q15"/>
      <c r="R15"/>
    </row>
    <row r="16" spans="1:18" x14ac:dyDescent="0.3">
      <c r="H16"/>
      <c r="K16"/>
      <c r="L16"/>
      <c r="M16"/>
      <c r="N16"/>
      <c r="O16"/>
      <c r="P16"/>
      <c r="Q16"/>
      <c r="R16"/>
    </row>
    <row r="17" spans="8:18" x14ac:dyDescent="0.3">
      <c r="H17"/>
      <c r="K17"/>
      <c r="L17"/>
      <c r="M17"/>
      <c r="N17"/>
      <c r="O17"/>
      <c r="P17"/>
      <c r="Q17"/>
      <c r="R17"/>
    </row>
    <row r="18" spans="8:18" ht="19.2" x14ac:dyDescent="0.45">
      <c r="H18"/>
      <c r="K18" s="2"/>
      <c r="L18" s="2"/>
      <c r="O18" s="3"/>
      <c r="P18" s="24"/>
      <c r="Q18"/>
      <c r="R18"/>
    </row>
    <row r="19" spans="8:18" x14ac:dyDescent="0.3">
      <c r="H19"/>
      <c r="K19" s="2"/>
      <c r="L19" s="2"/>
      <c r="O19" s="3"/>
      <c r="P19"/>
      <c r="Q19"/>
      <c r="R19"/>
    </row>
    <row r="20" spans="8:18" x14ac:dyDescent="0.3">
      <c r="H20"/>
      <c r="K20" s="2"/>
      <c r="L20" s="2"/>
      <c r="O20" s="3"/>
      <c r="P20"/>
      <c r="Q20"/>
      <c r="R20"/>
    </row>
    <row r="21" spans="8:18" x14ac:dyDescent="0.3">
      <c r="H21"/>
      <c r="M21"/>
      <c r="N21"/>
      <c r="O21"/>
      <c r="P21"/>
      <c r="Q21"/>
      <c r="R21"/>
    </row>
    <row r="22" spans="8:18" x14ac:dyDescent="0.3">
      <c r="H22"/>
      <c r="M22"/>
      <c r="N22"/>
      <c r="O22"/>
      <c r="P22"/>
      <c r="Q22"/>
      <c r="R22"/>
    </row>
    <row r="23" spans="8:18" x14ac:dyDescent="0.3">
      <c r="H23"/>
      <c r="M23"/>
      <c r="N23"/>
      <c r="O23"/>
      <c r="P23"/>
      <c r="Q23"/>
      <c r="R23"/>
    </row>
    <row r="24" spans="8:18" x14ac:dyDescent="0.3">
      <c r="M24"/>
      <c r="N24"/>
      <c r="O24"/>
      <c r="P24"/>
      <c r="Q24"/>
      <c r="R24"/>
    </row>
    <row r="25" spans="8:18" x14ac:dyDescent="0.3">
      <c r="M25"/>
      <c r="N25"/>
      <c r="O25"/>
      <c r="P25"/>
      <c r="Q25"/>
      <c r="R25"/>
    </row>
    <row r="26" spans="8:18" x14ac:dyDescent="0.3">
      <c r="M26"/>
      <c r="N26"/>
      <c r="O26"/>
      <c r="P26"/>
      <c r="Q26"/>
      <c r="R26"/>
    </row>
    <row r="27" spans="8:18" x14ac:dyDescent="0.3">
      <c r="M27"/>
      <c r="N27"/>
      <c r="O27"/>
      <c r="P27"/>
      <c r="Q27"/>
      <c r="R27"/>
    </row>
    <row r="28" spans="8:18" x14ac:dyDescent="0.3">
      <c r="M28"/>
      <c r="N28"/>
      <c r="O28"/>
      <c r="P28"/>
      <c r="Q28"/>
      <c r="R28"/>
    </row>
    <row r="29" spans="8:18" x14ac:dyDescent="0.3">
      <c r="M29"/>
      <c r="N29"/>
      <c r="O29"/>
      <c r="P29"/>
      <c r="Q29"/>
      <c r="R29"/>
    </row>
    <row r="30" spans="8:18" x14ac:dyDescent="0.3">
      <c r="M30"/>
      <c r="N30"/>
      <c r="O30"/>
      <c r="P30"/>
      <c r="Q30"/>
      <c r="R30"/>
    </row>
    <row r="31" spans="8:18" x14ac:dyDescent="0.3">
      <c r="M31"/>
      <c r="N31"/>
      <c r="O31"/>
      <c r="P31"/>
      <c r="Q31"/>
      <c r="R31"/>
    </row>
    <row r="32" spans="8:18" x14ac:dyDescent="0.3">
      <c r="M32"/>
      <c r="N32"/>
      <c r="O32"/>
      <c r="P32"/>
      <c r="Q32"/>
      <c r="R32"/>
    </row>
    <row r="33" spans="8:18" x14ac:dyDescent="0.3">
      <c r="M33"/>
      <c r="N33"/>
      <c r="O33"/>
      <c r="P33"/>
      <c r="Q33"/>
      <c r="R33"/>
    </row>
    <row r="34" spans="8:18" x14ac:dyDescent="0.3">
      <c r="H34" s="2"/>
      <c r="M34"/>
      <c r="N34"/>
      <c r="O34"/>
      <c r="P34"/>
      <c r="Q34"/>
      <c r="R34"/>
    </row>
    <row r="35" spans="8:18" x14ac:dyDescent="0.3">
      <c r="M35"/>
      <c r="N35"/>
      <c r="O35"/>
      <c r="P35"/>
      <c r="Q35"/>
      <c r="R35"/>
    </row>
    <row r="36" spans="8:18" x14ac:dyDescent="0.3">
      <c r="M36"/>
      <c r="N36"/>
      <c r="O36"/>
      <c r="P36"/>
      <c r="Q36"/>
      <c r="R36"/>
    </row>
    <row r="37" spans="8:18" x14ac:dyDescent="0.3">
      <c r="M37"/>
      <c r="N37"/>
      <c r="O37"/>
      <c r="P37"/>
      <c r="Q37"/>
      <c r="R37"/>
    </row>
    <row r="38" spans="8:18" x14ac:dyDescent="0.3">
      <c r="M38"/>
      <c r="N38"/>
      <c r="O38"/>
      <c r="P38"/>
      <c r="Q38"/>
      <c r="R38"/>
    </row>
    <row r="39" spans="8:18" x14ac:dyDescent="0.3">
      <c r="M39"/>
      <c r="N39"/>
      <c r="O39"/>
      <c r="P39"/>
      <c r="Q39"/>
      <c r="R3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">
                <anchor>
                  <from>
                    <xdr:col>4</xdr:col>
                    <xdr:colOff>335280</xdr:colOff>
                    <xdr:row>13</xdr:row>
                    <xdr:rowOff>0</xdr:rowOff>
                  </from>
                  <to>
                    <xdr:col>5</xdr:col>
                    <xdr:colOff>335280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hecksumPrüfer">
                <anchor>
                  <from>
                    <xdr:col>4</xdr:col>
                    <xdr:colOff>335280</xdr:colOff>
                    <xdr:row>10</xdr:row>
                    <xdr:rowOff>0</xdr:rowOff>
                  </from>
                  <to>
                    <xdr:col>5</xdr:col>
                    <xdr:colOff>335280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" r:id="rId6" name="Button 2365">
              <controlPr defaultSize="0" print="0" autoFill="0" autoPict="0" macro="[0]!Import">
                <anchor>
                  <from>
                    <xdr:col>4</xdr:col>
                    <xdr:colOff>335280</xdr:colOff>
                    <xdr:row>4</xdr:row>
                    <xdr:rowOff>0</xdr:rowOff>
                  </from>
                  <to>
                    <xdr:col>5</xdr:col>
                    <xdr:colOff>335280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" r:id="rId7" name="Button 2366">
              <controlPr defaultSize="0" print="0" autoFill="0" autoPict="0" macro="[0]!Checksumberechnen">
                <anchor>
                  <from>
                    <xdr:col>4</xdr:col>
                    <xdr:colOff>335280</xdr:colOff>
                    <xdr:row>7</xdr:row>
                    <xdr:rowOff>0</xdr:rowOff>
                  </from>
                  <to>
                    <xdr:col>5</xdr:col>
                    <xdr:colOff>335280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" r:id="rId8" name="Button 2560">
              <controlPr defaultSize="0" print="0" autoFill="0" autoPict="0" macro="[0]!LogEinausBlenden">
                <anchor moveWithCells="1" sizeWithCells="1">
                  <from>
                    <xdr:col>4</xdr:col>
                    <xdr:colOff>335280</xdr:colOff>
                    <xdr:row>18</xdr:row>
                    <xdr:rowOff>99060</xdr:rowOff>
                  </from>
                  <to>
                    <xdr:col>5</xdr:col>
                    <xdr:colOff>335280</xdr:colOff>
                    <xdr:row>21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1" r:id="rId9" name="Button 2813">
              <controlPr defaultSize="0" print="0" autoFill="0" autoPict="0" macro="[0]!LogExport">
                <anchor moveWithCells="1" sizeWithCells="1">
                  <from>
                    <xdr:col>4</xdr:col>
                    <xdr:colOff>342900</xdr:colOff>
                    <xdr:row>16</xdr:row>
                    <xdr:rowOff>0</xdr:rowOff>
                  </from>
                  <to>
                    <xdr:col>5</xdr:col>
                    <xdr:colOff>335280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0" r:id="rId10" name="Kontrollkästchen 1">
              <controlPr defaultSize="0" autoFill="0" autoLine="0" autoPict="0">
                <anchor moveWithCells="1">
                  <from>
                    <xdr:col>2</xdr:col>
                    <xdr:colOff>30480</xdr:colOff>
                    <xdr:row>0</xdr:row>
                    <xdr:rowOff>160020</xdr:rowOff>
                  </from>
                  <to>
                    <xdr:col>2</xdr:col>
                    <xdr:colOff>411480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1" r:id="rId11" name="Kontrollkästchen 2">
              <controlPr defaultSize="0" autoFill="0" autoLine="0" autoPict="0">
                <anchor moveWithCells="1">
                  <from>
                    <xdr:col>2</xdr:col>
                    <xdr:colOff>30480</xdr:colOff>
                    <xdr:row>1</xdr:row>
                    <xdr:rowOff>160020</xdr:rowOff>
                  </from>
                  <to>
                    <xdr:col>2</xdr:col>
                    <xdr:colOff>411480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2" r:id="rId12" name="Kontrollkästchen 3">
              <controlPr defaultSize="0" autoFill="0" autoLine="0" autoPict="0">
                <anchor moveWithCells="1">
                  <from>
                    <xdr:col>2</xdr:col>
                    <xdr:colOff>30480</xdr:colOff>
                    <xdr:row>2</xdr:row>
                    <xdr:rowOff>160020</xdr:rowOff>
                  </from>
                  <to>
                    <xdr:col>2</xdr:col>
                    <xdr:colOff>411480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3" r:id="rId13" name="Kontrollkästchen 4">
              <controlPr defaultSize="0" autoFill="0" autoLine="0" autoPict="0">
                <anchor moveWithCells="1">
                  <from>
                    <xdr:col>2</xdr:col>
                    <xdr:colOff>30480</xdr:colOff>
                    <xdr:row>3</xdr:row>
                    <xdr:rowOff>160020</xdr:rowOff>
                  </from>
                  <to>
                    <xdr:col>2</xdr:col>
                    <xdr:colOff>411480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4" r:id="rId14" name="Kontrollkästchen 5">
              <controlPr defaultSize="0" autoFill="0" autoLine="0" autoPict="0">
                <anchor moveWithCells="1">
                  <from>
                    <xdr:col>2</xdr:col>
                    <xdr:colOff>30480</xdr:colOff>
                    <xdr:row>4</xdr:row>
                    <xdr:rowOff>175260</xdr:rowOff>
                  </from>
                  <to>
                    <xdr:col>2</xdr:col>
                    <xdr:colOff>411480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5" r:id="rId15" name="Kontrollkästchen 6">
              <controlPr defaultSize="0" autoFill="0" autoLine="0" autoPict="0">
                <anchor moveWithCells="1">
                  <from>
                    <xdr:col>2</xdr:col>
                    <xdr:colOff>30480</xdr:colOff>
                    <xdr:row>5</xdr:row>
                    <xdr:rowOff>175260</xdr:rowOff>
                  </from>
                  <to>
                    <xdr:col>2</xdr:col>
                    <xdr:colOff>411480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6" r:id="rId16" name="Kontrollkästchen 7">
              <controlPr defaultSize="0" autoFill="0" autoLine="0" autoPict="0">
                <anchor moveWithCells="1">
                  <from>
                    <xdr:col>2</xdr:col>
                    <xdr:colOff>30480</xdr:colOff>
                    <xdr:row>6</xdr:row>
                    <xdr:rowOff>175260</xdr:rowOff>
                  </from>
                  <to>
                    <xdr:col>2</xdr:col>
                    <xdr:colOff>411480</xdr:colOff>
                    <xdr:row>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D526D-F328-4C54-ACA2-F18A80C5F3F7}">
  <sheetPr codeName="Tabelle2"/>
  <dimension ref="B1:J18"/>
  <sheetViews>
    <sheetView workbookViewId="0">
      <selection activeCell="D11" sqref="D11"/>
    </sheetView>
  </sheetViews>
  <sheetFormatPr baseColWidth="10" defaultRowHeight="14.4" x14ac:dyDescent="0.3"/>
  <cols>
    <col min="1" max="1" width="7" customWidth="1"/>
    <col min="2" max="2" width="22.88671875" customWidth="1"/>
    <col min="3" max="3" width="13.6640625" customWidth="1"/>
  </cols>
  <sheetData>
    <row r="1" spans="2:10" ht="15" thickBot="1" x14ac:dyDescent="0.35"/>
    <row r="2" spans="2:10" x14ac:dyDescent="0.3">
      <c r="B2" s="22" t="s">
        <v>5</v>
      </c>
      <c r="C2" s="23"/>
      <c r="D2" s="2"/>
      <c r="E2" s="6" t="s">
        <v>8</v>
      </c>
      <c r="F2" s="7" t="s">
        <v>9</v>
      </c>
      <c r="G2" s="7" t="s">
        <v>10</v>
      </c>
      <c r="H2" s="7" t="s">
        <v>11</v>
      </c>
      <c r="I2" s="7" t="s">
        <v>12</v>
      </c>
      <c r="J2" s="8" t="s">
        <v>13</v>
      </c>
    </row>
    <row r="3" spans="2:10" x14ac:dyDescent="0.3">
      <c r="B3" s="19" t="s">
        <v>6</v>
      </c>
      <c r="C3" s="21" t="s">
        <v>37</v>
      </c>
      <c r="D3" s="2"/>
      <c r="E3" s="6">
        <v>1</v>
      </c>
      <c r="F3" s="7" t="s">
        <v>19</v>
      </c>
      <c r="G3" s="7">
        <f t="shared" ref="G3:G12" si="0">CODE(F3)</f>
        <v>65</v>
      </c>
      <c r="H3" s="7" t="s">
        <v>14</v>
      </c>
      <c r="I3" s="9">
        <f>G3</f>
        <v>65</v>
      </c>
      <c r="J3" s="10" cm="1">
        <f t="array" aca="1" ref="J3" ca="1">SUMPRODUCT(1*MID(I3,ROW(INDIRECT("1:"&amp;LEN(I3))),1))</f>
        <v>11</v>
      </c>
    </row>
    <row r="4" spans="2:10" x14ac:dyDescent="0.3">
      <c r="B4" s="19" t="s">
        <v>7</v>
      </c>
      <c r="C4" s="18">
        <v>1</v>
      </c>
      <c r="D4" s="2"/>
      <c r="E4" s="11">
        <v>2</v>
      </c>
      <c r="F4" s="4" t="s">
        <v>20</v>
      </c>
      <c r="G4" s="4">
        <f t="shared" si="0"/>
        <v>66</v>
      </c>
      <c r="H4" s="4" t="s">
        <v>15</v>
      </c>
      <c r="I4" s="12">
        <f>G4*2</f>
        <v>132</v>
      </c>
      <c r="J4" s="10" cm="1">
        <f t="array" aca="1" ref="J4" ca="1">SUMPRODUCT(1*MID(I4,ROW(INDIRECT("1:"&amp;LEN(I4))),1))</f>
        <v>6</v>
      </c>
    </row>
    <row r="5" spans="2:10" x14ac:dyDescent="0.3">
      <c r="B5" s="20" t="s">
        <v>17</v>
      </c>
      <c r="C5" s="25" t="s">
        <v>38</v>
      </c>
      <c r="D5" s="2"/>
      <c r="E5" s="11">
        <v>3</v>
      </c>
      <c r="F5" s="4" t="s">
        <v>21</v>
      </c>
      <c r="G5" s="4">
        <f t="shared" si="0"/>
        <v>67</v>
      </c>
      <c r="H5" s="4" t="s">
        <v>14</v>
      </c>
      <c r="I5" s="12">
        <f>G5</f>
        <v>67</v>
      </c>
      <c r="J5" s="10" cm="1">
        <f t="array" aca="1" ref="J5" ca="1">SUMPRODUCT(1*MID(I5,ROW(INDIRECT("1:"&amp;LEN(I5))),1))</f>
        <v>13</v>
      </c>
    </row>
    <row r="6" spans="2:10" x14ac:dyDescent="0.3">
      <c r="B6" s="1"/>
      <c r="D6" s="2"/>
      <c r="E6" s="11">
        <v>4</v>
      </c>
      <c r="F6" s="4" t="s">
        <v>22</v>
      </c>
      <c r="G6" s="4">
        <f t="shared" si="0"/>
        <v>68</v>
      </c>
      <c r="H6" s="4" t="s">
        <v>15</v>
      </c>
      <c r="I6" s="12">
        <f>G6*2</f>
        <v>136</v>
      </c>
      <c r="J6" s="10" cm="1">
        <f t="array" aca="1" ref="J6" ca="1">SUMPRODUCT(1*MID(I6,ROW(INDIRECT("1:"&amp;LEN(I6))),1))</f>
        <v>10</v>
      </c>
    </row>
    <row r="7" spans="2:10" x14ac:dyDescent="0.3">
      <c r="B7" s="1"/>
      <c r="D7" s="2"/>
      <c r="E7" s="11">
        <v>5</v>
      </c>
      <c r="F7" s="4" t="s">
        <v>23</v>
      </c>
      <c r="G7" s="4">
        <f t="shared" si="0"/>
        <v>69</v>
      </c>
      <c r="H7" s="4" t="s">
        <v>14</v>
      </c>
      <c r="I7" s="12">
        <f t="shared" ref="I7:I11" si="1">G7</f>
        <v>69</v>
      </c>
      <c r="J7" s="10" cm="1">
        <f t="array" aca="1" ref="J7" ca="1">SUMPRODUCT(1*MID(I7,ROW(INDIRECT("1:"&amp;LEN(I7))),1))</f>
        <v>15</v>
      </c>
    </row>
    <row r="8" spans="2:10" x14ac:dyDescent="0.3">
      <c r="B8" s="1"/>
      <c r="D8" s="2"/>
      <c r="E8" s="11">
        <v>6</v>
      </c>
      <c r="F8" s="4" t="s">
        <v>18</v>
      </c>
      <c r="G8" s="4">
        <f t="shared" si="0"/>
        <v>70</v>
      </c>
      <c r="H8" s="4" t="s">
        <v>15</v>
      </c>
      <c r="I8" s="12">
        <f>G8*2</f>
        <v>140</v>
      </c>
      <c r="J8" s="10" cm="1">
        <f t="array" aca="1" ref="J8" ca="1">SUMPRODUCT(1*MID(I8,ROW(INDIRECT("1:"&amp;LEN(I8))),1))</f>
        <v>5</v>
      </c>
    </row>
    <row r="9" spans="2:10" x14ac:dyDescent="0.3">
      <c r="B9" s="1"/>
      <c r="D9" s="2"/>
      <c r="E9" s="11">
        <v>7</v>
      </c>
      <c r="F9" s="4">
        <v>1</v>
      </c>
      <c r="G9" s="4">
        <f t="shared" si="0"/>
        <v>49</v>
      </c>
      <c r="H9" s="4" t="s">
        <v>14</v>
      </c>
      <c r="I9" s="12">
        <f t="shared" si="1"/>
        <v>49</v>
      </c>
      <c r="J9" s="10" cm="1">
        <f t="array" aca="1" ref="J9" ca="1">SUMPRODUCT(1*MID(I9,ROW(INDIRECT("1:"&amp;LEN(I9))),1))</f>
        <v>13</v>
      </c>
    </row>
    <row r="10" spans="2:10" x14ac:dyDescent="0.3">
      <c r="B10" s="1"/>
      <c r="D10" s="2"/>
      <c r="E10" s="11">
        <v>8</v>
      </c>
      <c r="F10" s="4">
        <v>2</v>
      </c>
      <c r="G10" s="4">
        <f t="shared" si="0"/>
        <v>50</v>
      </c>
      <c r="H10" s="4" t="s">
        <v>15</v>
      </c>
      <c r="I10" s="12">
        <f>G10*2</f>
        <v>100</v>
      </c>
      <c r="J10" s="10" cm="1">
        <f t="array" aca="1" ref="J10" ca="1">SUMPRODUCT(1*MID(I10,ROW(INDIRECT("1:"&amp;LEN(I10))),1))</f>
        <v>1</v>
      </c>
    </row>
    <row r="11" spans="2:10" x14ac:dyDescent="0.3">
      <c r="B11" s="1"/>
      <c r="D11" s="2"/>
      <c r="E11" s="11">
        <v>9</v>
      </c>
      <c r="F11" s="4">
        <v>3</v>
      </c>
      <c r="G11" s="4">
        <f t="shared" si="0"/>
        <v>51</v>
      </c>
      <c r="H11" s="4" t="s">
        <v>14</v>
      </c>
      <c r="I11" s="12">
        <f t="shared" si="1"/>
        <v>51</v>
      </c>
      <c r="J11" s="10" cm="1">
        <f t="array" aca="1" ref="J11" ca="1">SUMPRODUCT(1*MID(I11,ROW(INDIRECT("1:"&amp;LEN(I11))),1))</f>
        <v>6</v>
      </c>
    </row>
    <row r="12" spans="2:10" ht="15" thickBot="1" x14ac:dyDescent="0.35">
      <c r="B12" s="1"/>
      <c r="D12" s="2"/>
      <c r="E12" s="13">
        <v>10</v>
      </c>
      <c r="F12" s="14">
        <v>6</v>
      </c>
      <c r="G12" s="14">
        <f t="shared" si="0"/>
        <v>54</v>
      </c>
      <c r="H12" s="14" t="s">
        <v>15</v>
      </c>
      <c r="I12" s="15">
        <f>G12*2</f>
        <v>108</v>
      </c>
      <c r="J12" s="10" cm="1">
        <f t="array" aca="1" ref="J12" ca="1">SUMPRODUCT(1*MID(I12,ROW(INDIRECT("1:"&amp;LEN(I12))),1))</f>
        <v>9</v>
      </c>
    </row>
    <row r="13" spans="2:10" x14ac:dyDescent="0.3">
      <c r="B13" s="1"/>
      <c r="D13" s="2"/>
      <c r="E13" s="4"/>
      <c r="F13" s="4"/>
      <c r="G13" s="4"/>
      <c r="H13" s="4"/>
      <c r="I13" s="4"/>
      <c r="J13" s="16" t="s">
        <v>16</v>
      </c>
    </row>
    <row r="14" spans="2:10" ht="15" thickBot="1" x14ac:dyDescent="0.35">
      <c r="B14" s="1"/>
      <c r="D14" s="2"/>
      <c r="E14" s="4"/>
      <c r="F14" s="4"/>
      <c r="G14" s="4"/>
      <c r="H14" s="4"/>
      <c r="I14" s="4"/>
      <c r="J14" s="17">
        <f ca="1">SUM(J3:J12)</f>
        <v>89</v>
      </c>
    </row>
    <row r="18" spans="5:5" x14ac:dyDescent="0.3">
      <c r="E18" s="26"/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utorial">
                <anchor moveWithCells="1" sizeWithCells="1">
                  <from>
                    <xdr:col>1</xdr:col>
                    <xdr:colOff>7620</xdr:colOff>
                    <xdr:row>5</xdr:row>
                    <xdr:rowOff>15240</xdr:rowOff>
                  </from>
                  <to>
                    <xdr:col>1</xdr:col>
                    <xdr:colOff>1287780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NMI Sammlung</vt:lpstr>
      <vt:lpstr>Tutorial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Kröner, Paul</dc:creator>
  <cp:lastModifiedBy>Kröner, Paul (Praktikant, GPRA601)</cp:lastModifiedBy>
  <dcterms:created xsi:type="dcterms:W3CDTF">2015-06-05T18:19:34Z</dcterms:created>
  <dcterms:modified xsi:type="dcterms:W3CDTF">2022-01-18T09:31:27Z</dcterms:modified>
</cp:coreProperties>
</file>