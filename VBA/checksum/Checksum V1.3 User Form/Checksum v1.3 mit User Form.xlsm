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2 zu bearbeitende Dokumente\checksum\Checksum V1.3 User Form\"/>
    </mc:Choice>
  </mc:AlternateContent>
  <xr:revisionPtr revIDLastSave="0" documentId="13_ncr:1_{BB631FAC-6A4C-42B3-A72D-458B75CCF9C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NMI Sammlung" sheetId="1" r:id="rId1"/>
    <sheet name="UserFormBlatt" sheetId="3" r:id="rId2"/>
    <sheet name="Tutorial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2" l="1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J9" i="2" a="1"/>
  <c r="J10" i="2" a="1"/>
  <c r="J12" i="2" a="1"/>
  <c r="J7" i="2" a="1"/>
  <c r="J3" i="2" a="1"/>
  <c r="J4" i="2" a="1"/>
  <c r="J5" i="2" a="1"/>
  <c r="J6" i="2" a="1"/>
  <c r="J8" i="2" a="1"/>
  <c r="J11" i="2" a="1"/>
  <c r="J11" i="2" l="1"/>
  <c r="J7" i="2"/>
  <c r="J6" i="2"/>
  <c r="J12" i="2"/>
  <c r="J10" i="2"/>
  <c r="J9" i="2"/>
  <c r="J5" i="2"/>
  <c r="J8" i="2"/>
  <c r="J4" i="2"/>
  <c r="J3" i="2"/>
  <c r="J1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<sst xmlns="http://schemas.openxmlformats.org/spreadsheetml/2006/main" count="380" uniqueCount="144">
  <si>
    <t>hier NMI eingeben:</t>
  </si>
  <si>
    <t>1234C6789A3</t>
  </si>
  <si>
    <t>Hier Exportpfad angeben:</t>
  </si>
  <si>
    <t>korrekt</t>
  </si>
  <si>
    <t>hier Tutorial / Test</t>
  </si>
  <si>
    <t>Hier NMI eingeben:</t>
  </si>
  <si>
    <t>Berechnete Checksum</t>
  </si>
  <si>
    <t>Stelle</t>
  </si>
  <si>
    <t>Inhalt</t>
  </si>
  <si>
    <t>ASCII-Wert</t>
  </si>
  <si>
    <t>2x ?</t>
  </si>
  <si>
    <t>$asciiVal</t>
  </si>
  <si>
    <t>Total =</t>
  </si>
  <si>
    <t>n</t>
  </si>
  <si>
    <t>j</t>
  </si>
  <si>
    <t>Summe:</t>
  </si>
  <si>
    <t>komplette NMI mit CS</t>
  </si>
  <si>
    <t>F</t>
  </si>
  <si>
    <t>A</t>
  </si>
  <si>
    <t>B</t>
  </si>
  <si>
    <t>C</t>
  </si>
  <si>
    <t>D</t>
  </si>
  <si>
    <t>E</t>
  </si>
  <si>
    <t>Log</t>
  </si>
  <si>
    <t xml:space="preserve"> </t>
  </si>
  <si>
    <t>NMI zu kurz</t>
  </si>
  <si>
    <t>1234C678902</t>
  </si>
  <si>
    <t>LogExport:</t>
  </si>
  <si>
    <t>S:\2 zu bearbeitende Dokumente\checksum\0 Logging\</t>
  </si>
  <si>
    <t>ABCDEF1236</t>
  </si>
  <si>
    <t>ABCDEF12361</t>
  </si>
  <si>
    <t>S:\2 zu bearbeitende Dokumente\checksum\0 Export CSV\</t>
  </si>
  <si>
    <t>2 waren zu kurz</t>
  </si>
  <si>
    <t>Es wurden 6 Zeilen überprüft</t>
  </si>
  <si>
    <t>lösche Kontrollkästchen</t>
  </si>
  <si>
    <t>setze Kontrollkästchen</t>
  </si>
  <si>
    <t>lösche Ergebnisfelder für Zeilen ohne NMI</t>
  </si>
  <si>
    <t>Prüfe, ob mind. 10 Stellen in NMI 1234C6789A3</t>
  </si>
  <si>
    <t>Prüfe, ob mind. 10 Stellen in NMI 34434556735</t>
  </si>
  <si>
    <t>Prüfe, ob mind. 10 Stellen in NMI 344345567</t>
  </si>
  <si>
    <t>Prüfe, ob mind. 10 Stellen in NMI 12345670</t>
  </si>
  <si>
    <t>344345567 ist zu kurz. Setze kein Häkchen</t>
  </si>
  <si>
    <t>12345670 ist zu kurz. Setze kein Häkchen</t>
  </si>
  <si>
    <t>1234C6789A3 ist lang genug und Checksum ist korrekt. Setze Häkchen</t>
  </si>
  <si>
    <t>34434556735 ist lang genug und Checksum ist korrekt. Setze Häkchen</t>
  </si>
  <si>
    <t>Prüfe, ob mind. 10 Stellen in NMI 4535345467</t>
  </si>
  <si>
    <t>Prüfe, ob mind. 10 Stellen in NMI 1234C678903</t>
  </si>
  <si>
    <t>2 waren Korrekt</t>
  </si>
  <si>
    <t>1 hatten keine Checksum</t>
  </si>
  <si>
    <t>1 hatten falsche Checksum</t>
  </si>
  <si>
    <t>1234C678903 ist lang genug, aber die Checksum der 1234C678903 ist falsch. Setze kein Häkchen</t>
  </si>
  <si>
    <t>die Checksum der 4535345467 fehlt. Setze kein Häkchen</t>
  </si>
  <si>
    <t>**************************</t>
  </si>
  <si>
    <t>die NMI 1234C6789A3 ist lang genug und wird in einzelne Teilstrings zerlegt</t>
  </si>
  <si>
    <t>starte ASCII-Wert Berechnung für NMI 1234C6789A3</t>
  </si>
  <si>
    <t>Summe der Quersummen der NMI 1234C6789A3 = 0</t>
  </si>
  <si>
    <t>Summe der Quersummen der NMI 1234C6789A3 = 77</t>
  </si>
  <si>
    <t>die berechnete Checksum von 1234C6789A3 beträgt 3</t>
  </si>
  <si>
    <t>die NMI 34434556735 ist lang genug und wird in einzelne Teilstrings zerlegt</t>
  </si>
  <si>
    <t>starte ASCII-Wert Berechnung für NMI 34434556735</t>
  </si>
  <si>
    <t>Summe der Quersummen der NMI 34434556735 = 0</t>
  </si>
  <si>
    <t>Summe der Quersummen der NMI 34434556735 = 65</t>
  </si>
  <si>
    <t>die berechnete Checksum von 34434556735 beträgt 5</t>
  </si>
  <si>
    <t>die NMI 4535345467 ist lang genug und wird in einzelne Teilstrings zerlegt</t>
  </si>
  <si>
    <t>starte ASCII-Wert Berechnung für NMI 4535345467</t>
  </si>
  <si>
    <t>Summe der Quersummen der NMI 4535345467 = 0</t>
  </si>
  <si>
    <t>Summe der Quersummen der NMI 4535345467 = 62</t>
  </si>
  <si>
    <t>die berechnete Checksum von 4535345467 beträgt 8</t>
  </si>
  <si>
    <t>die NMI 1234C678903 ist lang genug und wird in einzelne Teilstrings zerlegt</t>
  </si>
  <si>
    <t>starte ASCII-Wert Berechnung für NMI 1234C678903</t>
  </si>
  <si>
    <t>Summe der Quersummen der NMI 1234C678903 = 0</t>
  </si>
  <si>
    <t>Summe der Quersummen der NMI 1234C678903 = 88</t>
  </si>
  <si>
    <t>die berechnete Checksum von 1234C678903 beträgt 2</t>
  </si>
  <si>
    <t>die NMI 344345567 ist zu kurz</t>
  </si>
  <si>
    <t>die NMI 12345670 ist zu kurz</t>
  </si>
  <si>
    <t>Es wurden 4 Checksums gebildet</t>
  </si>
  <si>
    <t>check off</t>
  </si>
  <si>
    <t>Sicherheitskopie</t>
  </si>
  <si>
    <t>Prüfe, ob mind. 10 Stellen in NMI 45353454678</t>
  </si>
  <si>
    <t>45353454678 ist lang genug und Checksum ist korrekt. Setze Häkchen</t>
  </si>
  <si>
    <t>Prüfe, ob mind. 10 Stellen in NMI 1234C678902</t>
  </si>
  <si>
    <t>1234C678902 ist lang genug und Checksum ist korrekt. Setze Häkchen</t>
  </si>
  <si>
    <t>Prüfe, ob mind. 10 Stellen in NMI 12345612341</t>
  </si>
  <si>
    <t>12345612341 ist lang genug, aber die Checksum der 12345612341 ist falsch. Setze kein Häkchen</t>
  </si>
  <si>
    <t>Prüfe, ob mind. 10 Stellen in NMI 123456789AC</t>
  </si>
  <si>
    <t>123456789AC ist lang genug, aber die Checksum der 123456789AC ist falsch. Setze kein Häkchen</t>
  </si>
  <si>
    <t>Prüfe, ob mind. 10 Stellen in NMI 1234567890</t>
  </si>
  <si>
    <t>die Checksum der 1234567890 fehlt. Setze kein Häkchen</t>
  </si>
  <si>
    <t>Es wurden 10 Zeilen überprüft</t>
  </si>
  <si>
    <t>5 waren Korrekt</t>
  </si>
  <si>
    <t>2 hatten falsche Checksum</t>
  </si>
  <si>
    <t>Prüfe, ob mind. 10 Stellen in NMI 12345678900</t>
  </si>
  <si>
    <t>12345678900 ist lang genug, aber die Checksum der 12345678900 ist falsch. Setze kein Häkchen</t>
  </si>
  <si>
    <t>0 hatten keine Checksum</t>
  </si>
  <si>
    <t>3 hatten falsche Checksum</t>
  </si>
  <si>
    <t>die NMI 45353454678 ist lang genug und wird in einzelne Teilstrings zerlegt</t>
  </si>
  <si>
    <t>starte ASCII-Wert Berechnung für NMI 45353454678</t>
  </si>
  <si>
    <t>Summe der Quersummen der NMI 45353454678 = 0</t>
  </si>
  <si>
    <t>Summe der Quersummen der NMI 45353454678 = 62</t>
  </si>
  <si>
    <t>die berechnete Checksum von 45353454678 beträgt 8</t>
  </si>
  <si>
    <t>die NMI 1234C678902 ist lang genug und wird in einzelne Teilstrings zerlegt</t>
  </si>
  <si>
    <t>starte ASCII-Wert Berechnung für NMI 1234C678902</t>
  </si>
  <si>
    <t>Summe der Quersummen der NMI 1234C678902 = 0</t>
  </si>
  <si>
    <t>Summe der Quersummen der NMI 1234C678902 = 88</t>
  </si>
  <si>
    <t>die berechnete Checksum von 1234C678902 beträgt 2</t>
  </si>
  <si>
    <t>die NMI 12345612341 ist lang genug und wird in einzelne Teilstrings zerlegt</t>
  </si>
  <si>
    <t>starte ASCII-Wert Berechnung für NMI 12345612341</t>
  </si>
  <si>
    <t>Summe der Quersummen der NMI 12345612341 = 0</t>
  </si>
  <si>
    <t>Summe der Quersummen der NMI 12345612341 = 67</t>
  </si>
  <si>
    <t>die berechnete Checksum von 12345612341 beträgt 3</t>
  </si>
  <si>
    <t>die NMI 123456789AC ist lang genug und wird in einzelne Teilstrings zerlegt</t>
  </si>
  <si>
    <t>starte ASCII-Wert Berechnung für NMI 123456789AC</t>
  </si>
  <si>
    <t>Summe der Quersummen der NMI 123456789AC = 0</t>
  </si>
  <si>
    <t>Summe der Quersummen der NMI 123456789AC = 72</t>
  </si>
  <si>
    <t>die berechnete Checksum von 123456789AC beträgt 8</t>
  </si>
  <si>
    <t>123456789A8</t>
  </si>
  <si>
    <t>die NMI 12345678900 ist lang genug und wird in einzelne Teilstrings zerlegt</t>
  </si>
  <si>
    <t>starte ASCII-Wert Berechnung für NMI 12345678900</t>
  </si>
  <si>
    <t>Summe der Quersummen der NMI 12345678900 = 0</t>
  </si>
  <si>
    <t>Summe der Quersummen der NMI 12345678900 = 83</t>
  </si>
  <si>
    <t>die berechnete Checksum von 12345678900 beträgt 7</t>
  </si>
  <si>
    <t>Es wurden 8 Checksums gebildet</t>
  </si>
  <si>
    <t>Prüfe, ob mind. 10 Stellen in NMI 12345612343</t>
  </si>
  <si>
    <t>12345612343 ist lang genug und Checksum ist korrekt. Setze Häkchen</t>
  </si>
  <si>
    <t>Prüfe, ob mind. 10 Stellen in NMI 123456789A8</t>
  </si>
  <si>
    <t>123456789A8 ist lang genug und Checksum ist korrekt. Setze Häkchen</t>
  </si>
  <si>
    <t>Prüfe, ob mind. 10 Stellen in NMI 12345678907</t>
  </si>
  <si>
    <t>12345678907 ist lang genug und Checksum ist korrekt. Setze Häkchen</t>
  </si>
  <si>
    <t>8 waren Korrekt</t>
  </si>
  <si>
    <t>0 hatten falsche Checksum</t>
  </si>
  <si>
    <t>NMI wurde in fertige ListBox übertragen</t>
  </si>
  <si>
    <t>NMI aus Zwischenliste gelöscht</t>
  </si>
  <si>
    <t>NMI in Tabellenblatt gespeichert</t>
  </si>
  <si>
    <t>NMI wurde in Zwischenliste geschoben</t>
  </si>
  <si>
    <t>Checksum überprüft und ist korrekt</t>
  </si>
  <si>
    <t>Checksum überprüft und ist falsch</t>
  </si>
  <si>
    <t>Darkmode aktiviert</t>
  </si>
  <si>
    <t>Userform gestartet</t>
  </si>
  <si>
    <t>Es wurde eine Logging-Datei exportiert</t>
  </si>
  <si>
    <t>NMI wurde in Textbox verschoben</t>
  </si>
  <si>
    <t>NMI wurde aus Zwischenliste gelöscht</t>
  </si>
  <si>
    <t>Lightmode aktiviert</t>
  </si>
  <si>
    <t>Checksum wurde berechnet</t>
  </si>
  <si>
    <t>NMI hat falsche Länge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</si>
</sst>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Calibri"/>
      <family val="2"/>
    </font>
    <font>
      <sz val="12"/>
      <color rgb="FF222222"/>
      <name val="Segoe UI"/>
      <family val="2"/>
    </font>
    <font>
      <sz val="9"/>
      <color rgb="FF444444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2" borderId="13" xfId="0" applyFill="1" applyBorder="1"/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6" xfId="0" applyFill="1" applyBorder="1"/>
    <xf numFmtId="0" fontId="3" fillId="0" borderId="0" xfId="0" applyFont="1"/>
    <xf numFmtId="0" fontId="0" fillId="2" borderId="13" xfId="0" applyFill="1" applyBorder="1" applyAlignment="1">
      <alignment horizontal="center"/>
    </xf>
    <xf numFmtId="0" fontId="4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7" borderId="13" xfId="0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7" xfId="0" applyFill="1" applyBorder="1"/>
    <xf numFmtId="0" fontId="0" fillId="3" borderId="11" xfId="0" applyFill="1" applyBorder="1"/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3" borderId="11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8" borderId="17" xfId="0" applyFill="1" applyBorder="1"/>
    <xf numFmtId="0" fontId="0" fillId="9" borderId="13" xfId="0" applyFill="1" applyBorder="1"/>
    <xf numFmtId="0" fontId="0" fillId="3" borderId="13" xfId="0" applyFill="1" applyBorder="1"/>
    <xf numFmtId="0" fontId="0" fillId="9" borderId="13" xfId="0" applyFill="1" applyBorder="1" applyAlignment="1">
      <alignment horizontal="center" vertical="center"/>
    </xf>
    <xf numFmtId="0" fontId="0" fillId="8" borderId="0" xfId="0" applyFill="1"/>
    <xf numFmtId="0" fontId="0" fillId="0" borderId="17" xfId="0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2202180</xdr:colOff>
          <xdr:row>3</xdr:row>
          <xdr:rowOff>15240</xdr:rowOff>
        </xdr:from>
        <xdr:to>
          <xdr:col>5</xdr:col>
          <xdr:colOff>1478280</xdr:colOff>
          <xdr:row>6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716280</xdr:colOff>
          <xdr:row>6</xdr:row>
          <xdr:rowOff>7620</xdr:rowOff>
        </xdr:from>
        <xdr:to>
          <xdr:col>4</xdr:col>
          <xdr:colOff>2217420</xdr:colOff>
          <xdr:row>9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Checksum Prüfen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701040</xdr:colOff>
          <xdr:row>3</xdr:row>
          <xdr:rowOff>7620</xdr:rowOff>
        </xdr:from>
        <xdr:to>
          <xdr:col>4</xdr:col>
          <xdr:colOff>2202180</xdr:colOff>
          <xdr:row>6</xdr:row>
          <xdr:rowOff>7620</xdr:rowOff>
        </xdr:to>
        <xdr:sp macro="" textlink="">
          <xdr:nvSpPr>
            <xdr:cNvPr id="4413" name="Button 2365" hidden="1">
              <a:extLst>
                <a:ext uri="{63B3BB69-23CF-44E3-9099-C40C66FF867C}">
                  <a14:compatExt spid="_x0000_s4413"/>
                </a:ext>
                <a:ext uri="{FF2B5EF4-FFF2-40B4-BE49-F238E27FC236}">
                  <a16:creationId xmlns:a16="http://schemas.microsoft.com/office/drawing/2014/main" id="{00000000-0008-0000-0000-00003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2217420</xdr:colOff>
          <xdr:row>6</xdr:row>
          <xdr:rowOff>7620</xdr:rowOff>
        </xdr:from>
        <xdr:to>
          <xdr:col>5</xdr:col>
          <xdr:colOff>1493520</xdr:colOff>
          <xdr:row>9</xdr:row>
          <xdr:rowOff>7620</xdr:rowOff>
        </xdr:to>
        <xdr:sp macro="" textlink="">
          <xdr:nvSpPr>
            <xdr:cNvPr id="4414" name="Button 2366" hidden="1">
              <a:extLst>
                <a:ext uri="{63B3BB69-23CF-44E3-9099-C40C66FF867C}">
                  <a14:compatExt spid="_x0000_s4414"/>
                </a:ext>
                <a:ext uri="{FF2B5EF4-FFF2-40B4-BE49-F238E27FC236}">
                  <a16:creationId xmlns:a16="http://schemas.microsoft.com/office/drawing/2014/main" id="{00000000-0008-0000-0000-00003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Checksum bilden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739140</xdr:colOff>
          <xdr:row>9</xdr:row>
          <xdr:rowOff>22860</xdr:rowOff>
        </xdr:from>
        <xdr:to>
          <xdr:col>5</xdr:col>
          <xdr:colOff>15240</xdr:colOff>
          <xdr:row>12</xdr:row>
          <xdr:rowOff>22860</xdr:rowOff>
        </xdr:to>
        <xdr:sp macro="" textlink="">
          <xdr:nvSpPr>
            <xdr:cNvPr id="4608" name="Button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0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 ein/ausblenden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2217420</xdr:colOff>
          <xdr:row>9</xdr:row>
          <xdr:rowOff>0</xdr:rowOff>
        </xdr:from>
        <xdr:to>
          <xdr:col>5</xdr:col>
          <xdr:colOff>1485900</xdr:colOff>
          <xdr:row>12</xdr:row>
          <xdr:rowOff>7620</xdr:rowOff>
        </xdr:to>
        <xdr:sp macro="" textlink="">
          <xdr:nvSpPr>
            <xdr:cNvPr id="4861" name="Button 2813" hidden="1">
              <a:extLst>
                <a:ext uri="{63B3BB69-23CF-44E3-9099-C40C66FF867C}">
                  <a14:compatExt spid="_x0000_s4861"/>
                </a:ext>
                <a:ext uri="{FF2B5EF4-FFF2-40B4-BE49-F238E27FC236}">
                  <a16:creationId xmlns:a16="http://schemas.microsoft.com/office/drawing/2014/main" id="{00000000-0008-0000-0000-0000F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0</xdr:row>
          <xdr:rowOff>167640</xdr:rowOff>
        </xdr:from>
        <xdr:to>
          <xdr:col>2</xdr:col>
          <xdr:colOff>434340</xdr:colOff>
          <xdr:row>2</xdr:row>
          <xdr:rowOff>15240</xdr:rowOff>
        </xdr:to>
        <xdr:sp macro="" textlink="">
          <xdr:nvSpPr>
            <xdr:cNvPr id="6288" name="Kontrollkästchen 1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1</xdr:row>
          <xdr:rowOff>160020</xdr:rowOff>
        </xdr:from>
        <xdr:to>
          <xdr:col>2</xdr:col>
          <xdr:colOff>434340</xdr:colOff>
          <xdr:row>3</xdr:row>
          <xdr:rowOff>15240</xdr:rowOff>
        </xdr:to>
        <xdr:sp macro="" textlink="">
          <xdr:nvSpPr>
            <xdr:cNvPr id="6289" name="Kontrollkästchen 2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2</xdr:row>
          <xdr:rowOff>160020</xdr:rowOff>
        </xdr:from>
        <xdr:to>
          <xdr:col>2</xdr:col>
          <xdr:colOff>434340</xdr:colOff>
          <xdr:row>4</xdr:row>
          <xdr:rowOff>15240</xdr:rowOff>
        </xdr:to>
        <xdr:sp macro="" textlink="">
          <xdr:nvSpPr>
            <xdr:cNvPr id="6290" name="Kontrollkästchen 3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3</xdr:row>
          <xdr:rowOff>160020</xdr:rowOff>
        </xdr:from>
        <xdr:to>
          <xdr:col>2</xdr:col>
          <xdr:colOff>434340</xdr:colOff>
          <xdr:row>5</xdr:row>
          <xdr:rowOff>15240</xdr:rowOff>
        </xdr:to>
        <xdr:sp macro="" textlink="">
          <xdr:nvSpPr>
            <xdr:cNvPr id="6291" name="Kontrollkästchen 4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4</xdr:row>
          <xdr:rowOff>160020</xdr:rowOff>
        </xdr:from>
        <xdr:to>
          <xdr:col>2</xdr:col>
          <xdr:colOff>434340</xdr:colOff>
          <xdr:row>6</xdr:row>
          <xdr:rowOff>15240</xdr:rowOff>
        </xdr:to>
        <xdr:sp macro="" textlink="">
          <xdr:nvSpPr>
            <xdr:cNvPr id="6292" name="Kontrollkästchen 5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5</xdr:row>
          <xdr:rowOff>160020</xdr:rowOff>
        </xdr:from>
        <xdr:to>
          <xdr:col>2</xdr:col>
          <xdr:colOff>434340</xdr:colOff>
          <xdr:row>7</xdr:row>
          <xdr:rowOff>15240</xdr:rowOff>
        </xdr:to>
        <xdr:sp macro="" textlink="">
          <xdr:nvSpPr>
            <xdr:cNvPr id="6293" name="Kontrollkästchen 6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6</xdr:row>
          <xdr:rowOff>160020</xdr:rowOff>
        </xdr:from>
        <xdr:to>
          <xdr:col>2</xdr:col>
          <xdr:colOff>434340</xdr:colOff>
          <xdr:row>8</xdr:row>
          <xdr:rowOff>15240</xdr:rowOff>
        </xdr:to>
        <xdr:sp macro="" textlink="">
          <xdr:nvSpPr>
            <xdr:cNvPr id="6294" name="Kontrollkästchen 7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7</xdr:row>
          <xdr:rowOff>160020</xdr:rowOff>
        </xdr:from>
        <xdr:to>
          <xdr:col>2</xdr:col>
          <xdr:colOff>434340</xdr:colOff>
          <xdr:row>9</xdr:row>
          <xdr:rowOff>15240</xdr:rowOff>
        </xdr:to>
        <xdr:sp macro="" textlink="">
          <xdr:nvSpPr>
            <xdr:cNvPr id="6295" name="Kontrollkästchen 8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8</xdr:row>
          <xdr:rowOff>160020</xdr:rowOff>
        </xdr:from>
        <xdr:to>
          <xdr:col>2</xdr:col>
          <xdr:colOff>434340</xdr:colOff>
          <xdr:row>10</xdr:row>
          <xdr:rowOff>15240</xdr:rowOff>
        </xdr:to>
        <xdr:sp macro="" textlink="">
          <xdr:nvSpPr>
            <xdr:cNvPr id="6296" name="Kontrollkästchen 9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9</xdr:row>
          <xdr:rowOff>160020</xdr:rowOff>
        </xdr:from>
        <xdr:to>
          <xdr:col>2</xdr:col>
          <xdr:colOff>434340</xdr:colOff>
          <xdr:row>11</xdr:row>
          <xdr:rowOff>15240</xdr:rowOff>
        </xdr:to>
        <xdr:sp macro="" textlink="">
          <xdr:nvSpPr>
            <xdr:cNvPr id="6297" name="Kontrollkästchen 10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12</xdr:row>
          <xdr:rowOff>175260</xdr:rowOff>
        </xdr:from>
        <xdr:to>
          <xdr:col>5</xdr:col>
          <xdr:colOff>22860</xdr:colOff>
          <xdr:row>16</xdr:row>
          <xdr:rowOff>0</xdr:rowOff>
        </xdr:to>
        <xdr:sp macro="" textlink="">
          <xdr:nvSpPr>
            <xdr:cNvPr id="6299" name="Button 3227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UserForm starten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</xdr:row>
          <xdr:rowOff>15240</xdr:rowOff>
        </xdr:from>
        <xdr:to>
          <xdr:col>1</xdr:col>
          <xdr:colOff>1287780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Checksum Tutorial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292"/>
  <sheetViews>
    <sheetView workbookViewId="0">
      <selection activeCell="F19" sqref="F19"/>
    </sheetView>
  </sheetViews>
  <sheetFormatPr baseColWidth="10" defaultColWidth="8.88671875" defaultRowHeight="14.4" x14ac:dyDescent="0.3"/>
  <cols>
    <col min="1" max="1" width="16.5546875" style="33" bestFit="1" customWidth="1"/>
    <col min="2" max="2" width="12.21875" style="32" bestFit="1" customWidth="1"/>
    <col min="3" max="3" width="7" style="34" customWidth="1"/>
    <col min="4" max="4" width="18.5546875" style="43" customWidth="1"/>
    <col min="5" max="5" width="32.44140625" style="35" customWidth="1"/>
    <col min="6" max="6" width="51.88671875" style="35" customWidth="1"/>
    <col min="7" max="7" width="0.21875" style="35" customWidth="1"/>
    <col min="8" max="8" width="80" style="36" bestFit="1" customWidth="1"/>
    <col min="9" max="9" width="3.109375" style="28" customWidth="1"/>
    <col min="10" max="10" width="38.6640625" style="1" bestFit="1" customWidth="1"/>
    <col min="11" max="11" width="21.6640625" style="1" bestFit="1" customWidth="1"/>
    <col min="12" max="12" width="8.88671875" style="1" customWidth="1"/>
    <col min="13" max="13" width="14" style="2" customWidth="1"/>
    <col min="14" max="17" width="10.77734375" style="2" customWidth="1"/>
    <col min="18" max="18" width="10.77734375" style="3" customWidth="1"/>
    <col min="19" max="22" width="10.77734375" customWidth="1"/>
  </cols>
  <sheetData>
    <row r="1" spans="1:18" ht="15" thickBot="1" x14ac:dyDescent="0.35">
      <c r="A1" s="26"/>
      <c r="B1" s="29"/>
      <c r="C1" s="27"/>
      <c r="D1" s="40"/>
      <c r="E1" s="28"/>
      <c r="F1" s="28"/>
      <c r="G1" s="28"/>
      <c r="H1" s="37" t="s">
        <v>24</v>
      </c>
    </row>
    <row r="2" spans="1:18" x14ac:dyDescent="0.3">
      <c r="A2" s="33" t="s">
        <v>0</v>
      </c>
      <c r="B2" s="32" t="s">
        <v>1</v>
      </c>
      <c r="D2" s="41" t="s">
        <v>3</v>
      </c>
      <c r="E2" s="38" t="s">
        <v>2</v>
      </c>
      <c r="F2" s="30" t="s">
        <v>31</v>
      </c>
      <c r="H2" s="36" t="s">
        <v>23</v>
      </c>
      <c r="M2" s="1"/>
    </row>
    <row r="3" spans="1:18" ht="14.4" customHeight="1" thickBot="1" x14ac:dyDescent="0.35">
      <c r="B3" s="32">
        <v>34434556735</v>
      </c>
      <c r="D3" s="41" t="s">
        <v>3</v>
      </c>
      <c r="E3" s="39" t="s">
        <v>27</v>
      </c>
      <c r="F3" s="31" t="s">
        <v>28</v>
      </c>
      <c r="H3" s="44" t="s">
        <v>34</v>
      </c>
      <c r="L3" s="2"/>
      <c r="P3" s="3"/>
      <c r="Q3"/>
      <c r="R3"/>
    </row>
    <row r="4" spans="1:18" x14ac:dyDescent="0.3">
      <c r="B4" s="32">
        <v>45353454678</v>
      </c>
      <c r="D4" s="41" t="s">
        <v>3</v>
      </c>
      <c r="H4" s="44" t="s">
        <v>35</v>
      </c>
      <c r="Q4" s="3"/>
      <c r="R4"/>
    </row>
    <row r="5" spans="1:18" x14ac:dyDescent="0.3">
      <c r="B5" s="32" t="s">
        <v>26</v>
      </c>
      <c r="D5" s="41" t="s">
        <v>3</v>
      </c>
      <c r="H5" s="44" t="s">
        <v>36</v>
      </c>
      <c r="J5" s="2"/>
      <c r="K5" s="2"/>
      <c r="L5" s="2"/>
      <c r="N5" s="3"/>
      <c r="O5"/>
      <c r="P5"/>
      <c r="Q5"/>
      <c r="R5"/>
    </row>
    <row r="6" spans="1:18" x14ac:dyDescent="0.3">
      <c r="B6" s="32">
        <v>344345567</v>
      </c>
      <c r="D6" s="42" t="s">
        <v>25</v>
      </c>
      <c r="H6" s="44" t="s">
        <v>37</v>
      </c>
      <c r="J6" s="2"/>
      <c r="K6" s="2"/>
      <c r="L6" s="2"/>
      <c r="N6" s="3"/>
      <c r="O6"/>
      <c r="P6"/>
      <c r="Q6"/>
      <c r="R6"/>
    </row>
    <row r="7" spans="1:18" x14ac:dyDescent="0.3">
      <c r="B7" s="32">
        <v>12345670</v>
      </c>
      <c r="D7" s="42" t="s">
        <v>25</v>
      </c>
      <c r="H7" s="44" t="s">
        <v>43</v>
      </c>
      <c r="J7" s="2"/>
      <c r="K7" s="2"/>
      <c r="L7" s="2"/>
      <c r="N7" s="3"/>
      <c r="O7"/>
      <c r="P7"/>
      <c r="Q7"/>
      <c r="R7"/>
    </row>
    <row r="8" spans="1:18" x14ac:dyDescent="0.3">
      <c r="B8" s="32">
        <v>12345612343</v>
      </c>
      <c r="D8" s="41" t="s">
        <v>3</v>
      </c>
      <c r="H8" s="44" t="s">
        <v>38</v>
      </c>
      <c r="J8" s="2"/>
      <c r="K8" s="2"/>
      <c r="L8" s="2"/>
      <c r="N8" s="3"/>
      <c r="O8"/>
      <c r="P8"/>
      <c r="Q8"/>
      <c r="R8"/>
    </row>
    <row r="9" spans="1:18" x14ac:dyDescent="0.3">
      <c r="B9" s="32">
        <v>34434556735</v>
      </c>
      <c r="D9" s="41" t="s">
        <v>3</v>
      </c>
      <c r="H9" s="44" t="s">
        <v>44</v>
      </c>
      <c r="J9" s="2"/>
      <c r="K9" s="2"/>
      <c r="L9" s="2"/>
      <c r="N9" s="3"/>
      <c r="O9"/>
      <c r="P9"/>
      <c r="Q9"/>
      <c r="R9"/>
    </row>
    <row r="10" spans="1:18" x14ac:dyDescent="0.3">
      <c r="B10" s="32" t="s">
        <v>115</v>
      </c>
      <c r="D10" s="41" t="s">
        <v>3</v>
      </c>
      <c r="H10" s="44" t="s">
        <v>45</v>
      </c>
      <c r="J10" s="2"/>
      <c r="K10" s="2"/>
      <c r="L10" s="2"/>
      <c r="N10" s="3"/>
      <c r="O10"/>
      <c r="P10"/>
      <c r="Q10"/>
      <c r="R10"/>
    </row>
    <row r="11" spans="1:18" x14ac:dyDescent="0.3">
      <c r="B11" s="32">
        <v>12345678907</v>
      </c>
      <c r="D11" s="41" t="s">
        <v>3</v>
      </c>
      <c r="H11" s="44" t="s">
        <v>51</v>
      </c>
      <c r="K11" s="2"/>
      <c r="L11" s="2"/>
      <c r="O11" s="3"/>
      <c r="P11"/>
      <c r="Q11"/>
      <c r="R11"/>
    </row>
    <row r="12" spans="1:18" x14ac:dyDescent="0.3">
      <c r="D12" s="49"/>
      <c r="H12" s="44" t="s">
        <v>46</v>
      </c>
      <c r="K12" s="2"/>
      <c r="L12" s="2"/>
      <c r="O12" s="3"/>
      <c r="P12"/>
      <c r="Q12"/>
      <c r="R12"/>
    </row>
    <row r="13" spans="1:18" x14ac:dyDescent="0.3">
      <c r="H13" s="44" t="s">
        <v>50</v>
      </c>
      <c r="K13" s="2"/>
      <c r="L13" s="2"/>
      <c r="O13" s="3"/>
      <c r="P13"/>
      <c r="Q13"/>
      <c r="R13"/>
    </row>
    <row r="14" spans="1:18" x14ac:dyDescent="0.3">
      <c r="H14" s="44" t="s">
        <v>39</v>
      </c>
      <c r="K14" s="2"/>
      <c r="L14" s="2"/>
      <c r="O14" s="3"/>
      <c r="P14"/>
      <c r="Q14"/>
      <c r="R14"/>
    </row>
    <row r="15" spans="1:18" x14ac:dyDescent="0.3">
      <c r="H15" s="44" t="s">
        <v>41</v>
      </c>
      <c r="K15"/>
      <c r="L15"/>
      <c r="M15"/>
      <c r="N15"/>
      <c r="O15"/>
      <c r="P15"/>
      <c r="Q15"/>
      <c r="R15"/>
    </row>
    <row r="16" spans="1:18" x14ac:dyDescent="0.3">
      <c r="H16" s="44" t="s">
        <v>40</v>
      </c>
      <c r="K16"/>
      <c r="L16"/>
      <c r="M16"/>
      <c r="N16"/>
      <c r="O16"/>
      <c r="P16"/>
      <c r="Q16"/>
      <c r="R16"/>
    </row>
    <row r="17" spans="8:18" x14ac:dyDescent="0.3">
      <c r="H17" s="44" t="s">
        <v>42</v>
      </c>
      <c r="K17"/>
      <c r="L17"/>
      <c r="M17"/>
      <c r="N17"/>
      <c r="O17"/>
      <c r="P17"/>
      <c r="Q17"/>
      <c r="R17"/>
    </row>
    <row r="18" spans="8:18" ht="15" customHeight="1" x14ac:dyDescent="0.45">
      <c r="H18" s="44" t="s">
        <v>33</v>
      </c>
      <c r="K18" s="2"/>
      <c r="L18" s="2"/>
      <c r="O18" s="3"/>
      <c r="P18" s="23"/>
      <c r="Q18"/>
      <c r="R18"/>
    </row>
    <row r="19" spans="8:18" x14ac:dyDescent="0.3">
      <c r="H19" s="44" t="s">
        <v>47</v>
      </c>
      <c r="K19" s="2"/>
      <c r="L19" s="2"/>
      <c r="O19" s="3"/>
      <c r="P19"/>
      <c r="Q19"/>
      <c r="R19"/>
    </row>
    <row r="20" spans="8:18" x14ac:dyDescent="0.3">
      <c r="H20" s="44" t="s">
        <v>32</v>
      </c>
      <c r="K20" s="2"/>
      <c r="L20" s="2"/>
      <c r="O20" s="3"/>
      <c r="P20"/>
      <c r="Q20"/>
      <c r="R20"/>
    </row>
    <row r="21" spans="8:18" x14ac:dyDescent="0.3">
      <c r="H21" s="44" t="s">
        <v>48</v>
      </c>
      <c r="M21"/>
      <c r="N21"/>
      <c r="O21"/>
      <c r="P21"/>
      <c r="Q21"/>
      <c r="R21"/>
    </row>
    <row r="22" spans="8:18" x14ac:dyDescent="0.3">
      <c r="H22" s="44" t="s">
        <v>49</v>
      </c>
      <c r="M22"/>
      <c r="N22"/>
      <c r="O22"/>
      <c r="P22"/>
      <c r="Q22"/>
      <c r="R22"/>
    </row>
    <row r="23" spans="8:18" x14ac:dyDescent="0.3">
      <c r="H23" s="44" t="s">
        <v>52</v>
      </c>
      <c r="M23"/>
      <c r="N23"/>
      <c r="O23"/>
      <c r="P23"/>
      <c r="Q23"/>
      <c r="R23"/>
    </row>
    <row r="24" spans="8:18" x14ac:dyDescent="0.3">
      <c r="H24" s="44" t="s">
        <v>53</v>
      </c>
      <c r="M24"/>
      <c r="N24"/>
      <c r="O24"/>
      <c r="P24"/>
      <c r="Q24"/>
      <c r="R24"/>
    </row>
    <row r="25" spans="8:18" x14ac:dyDescent="0.3">
      <c r="H25" s="44" t="s">
        <v>54</v>
      </c>
      <c r="M25"/>
      <c r="N25"/>
      <c r="O25"/>
      <c r="P25"/>
      <c r="Q25"/>
      <c r="R25"/>
    </row>
    <row r="26" spans="8:18" x14ac:dyDescent="0.3">
      <c r="H26" s="44" t="s">
        <v>55</v>
      </c>
      <c r="M26"/>
      <c r="N26"/>
      <c r="O26"/>
      <c r="P26"/>
      <c r="Q26"/>
      <c r="R26"/>
    </row>
    <row r="27" spans="8:18" x14ac:dyDescent="0.3">
      <c r="H27" s="44" t="s">
        <v>55</v>
      </c>
      <c r="M27"/>
      <c r="N27"/>
      <c r="O27"/>
      <c r="P27"/>
      <c r="Q27"/>
      <c r="R27"/>
    </row>
    <row r="28" spans="8:18" x14ac:dyDescent="0.3">
      <c r="H28" s="44" t="s">
        <v>55</v>
      </c>
      <c r="M28"/>
      <c r="N28"/>
      <c r="O28"/>
      <c r="P28"/>
      <c r="Q28"/>
      <c r="R28"/>
    </row>
    <row r="29" spans="8:18" x14ac:dyDescent="0.3">
      <c r="H29" s="44" t="s">
        <v>55</v>
      </c>
      <c r="M29"/>
      <c r="N29"/>
      <c r="O29"/>
      <c r="P29"/>
      <c r="Q29"/>
      <c r="R29"/>
    </row>
    <row r="30" spans="8:18" x14ac:dyDescent="0.3">
      <c r="H30" s="44" t="s">
        <v>55</v>
      </c>
      <c r="M30"/>
      <c r="N30"/>
      <c r="O30"/>
      <c r="P30"/>
      <c r="Q30"/>
      <c r="R30"/>
    </row>
    <row r="31" spans="8:18" x14ac:dyDescent="0.3">
      <c r="H31" s="44" t="s">
        <v>55</v>
      </c>
      <c r="M31"/>
      <c r="N31"/>
      <c r="O31"/>
      <c r="P31"/>
      <c r="Q31"/>
      <c r="R31"/>
    </row>
    <row r="32" spans="8:18" x14ac:dyDescent="0.3">
      <c r="H32" s="44" t="s">
        <v>55</v>
      </c>
      <c r="M32"/>
      <c r="N32"/>
      <c r="O32"/>
      <c r="P32"/>
      <c r="Q32"/>
      <c r="R32"/>
    </row>
    <row r="33" spans="8:18" x14ac:dyDescent="0.3">
      <c r="H33" s="44" t="s">
        <v>55</v>
      </c>
      <c r="M33"/>
      <c r="N33"/>
      <c r="O33"/>
      <c r="P33"/>
      <c r="Q33"/>
      <c r="R33"/>
    </row>
    <row r="34" spans="8:18" x14ac:dyDescent="0.3">
      <c r="H34" s="44" t="s">
        <v>55</v>
      </c>
      <c r="M34"/>
      <c r="N34"/>
      <c r="O34"/>
      <c r="P34"/>
      <c r="Q34"/>
      <c r="R34"/>
    </row>
    <row r="35" spans="8:18" x14ac:dyDescent="0.3">
      <c r="H35" s="44" t="s">
        <v>55</v>
      </c>
      <c r="M35"/>
      <c r="N35"/>
      <c r="O35"/>
      <c r="P35"/>
      <c r="Q35"/>
      <c r="R35"/>
    </row>
    <row r="36" spans="8:18" x14ac:dyDescent="0.3">
      <c r="H36" s="44" t="s">
        <v>56</v>
      </c>
      <c r="M36"/>
      <c r="N36"/>
      <c r="O36"/>
      <c r="P36"/>
      <c r="Q36"/>
      <c r="R36"/>
    </row>
    <row r="37" spans="8:18" x14ac:dyDescent="0.3">
      <c r="H37" s="44" t="s">
        <v>57</v>
      </c>
      <c r="M37"/>
      <c r="N37"/>
      <c r="O37"/>
      <c r="P37"/>
      <c r="Q37"/>
      <c r="R37"/>
    </row>
    <row r="38" spans="8:18" x14ac:dyDescent="0.3">
      <c r="H38" s="44" t="s">
        <v>58</v>
      </c>
      <c r="M38"/>
      <c r="N38"/>
      <c r="O38"/>
      <c r="P38"/>
      <c r="Q38"/>
      <c r="R38"/>
    </row>
    <row r="39" spans="8:18" x14ac:dyDescent="0.3">
      <c r="H39" s="44" t="s">
        <v>59</v>
      </c>
      <c r="M39"/>
      <c r="N39"/>
      <c r="O39"/>
      <c r="P39"/>
      <c r="Q39"/>
      <c r="R39"/>
    </row>
    <row r="40" spans="8:18" x14ac:dyDescent="0.3">
      <c r="H40" s="44" t="s">
        <v>60</v>
      </c>
    </row>
    <row r="41" spans="8:18" x14ac:dyDescent="0.3">
      <c r="H41" s="44" t="s">
        <v>60</v>
      </c>
    </row>
    <row r="42" spans="8:18" x14ac:dyDescent="0.3">
      <c r="H42" s="44" t="s">
        <v>60</v>
      </c>
    </row>
    <row r="43" spans="8:18" x14ac:dyDescent="0.3">
      <c r="H43" s="44" t="s">
        <v>60</v>
      </c>
    </row>
    <row r="44" spans="8:18" x14ac:dyDescent="0.3">
      <c r="H44" s="44" t="s">
        <v>60</v>
      </c>
    </row>
    <row r="45" spans="8:18" x14ac:dyDescent="0.3">
      <c r="H45" s="44" t="s">
        <v>60</v>
      </c>
    </row>
    <row r="46" spans="8:18" x14ac:dyDescent="0.3">
      <c r="H46" s="44" t="s">
        <v>60</v>
      </c>
    </row>
    <row r="47" spans="8:18" x14ac:dyDescent="0.3">
      <c r="H47" s="44" t="s">
        <v>60</v>
      </c>
    </row>
    <row r="48" spans="8:18" x14ac:dyDescent="0.3">
      <c r="H48" s="44" t="s">
        <v>60</v>
      </c>
    </row>
    <row r="49" spans="8:8" x14ac:dyDescent="0.3">
      <c r="H49" s="44" t="s">
        <v>60</v>
      </c>
    </row>
    <row r="50" spans="8:8" x14ac:dyDescent="0.3">
      <c r="H50" s="44" t="s">
        <v>61</v>
      </c>
    </row>
    <row r="51" spans="8:8" x14ac:dyDescent="0.3">
      <c r="H51" s="44" t="s">
        <v>62</v>
      </c>
    </row>
    <row r="52" spans="8:8" x14ac:dyDescent="0.3">
      <c r="H52" s="44" t="s">
        <v>63</v>
      </c>
    </row>
    <row r="53" spans="8:8" x14ac:dyDescent="0.3">
      <c r="H53" s="44" t="s">
        <v>64</v>
      </c>
    </row>
    <row r="54" spans="8:8" x14ac:dyDescent="0.3">
      <c r="H54" s="44" t="s">
        <v>65</v>
      </c>
    </row>
    <row r="55" spans="8:8" x14ac:dyDescent="0.3">
      <c r="H55" s="44" t="s">
        <v>65</v>
      </c>
    </row>
    <row r="56" spans="8:8" x14ac:dyDescent="0.3">
      <c r="H56" s="44" t="s">
        <v>65</v>
      </c>
    </row>
    <row r="57" spans="8:8" x14ac:dyDescent="0.3">
      <c r="H57" s="44" t="s">
        <v>65</v>
      </c>
    </row>
    <row r="58" spans="8:8" x14ac:dyDescent="0.3">
      <c r="H58" s="44" t="s">
        <v>65</v>
      </c>
    </row>
    <row r="59" spans="8:8" x14ac:dyDescent="0.3">
      <c r="H59" s="44" t="s">
        <v>65</v>
      </c>
    </row>
    <row r="60" spans="8:8" x14ac:dyDescent="0.3">
      <c r="H60" s="44" t="s">
        <v>65</v>
      </c>
    </row>
    <row r="61" spans="8:8" x14ac:dyDescent="0.3">
      <c r="H61" s="44" t="s">
        <v>65</v>
      </c>
    </row>
    <row r="62" spans="8:8" x14ac:dyDescent="0.3">
      <c r="H62" s="44" t="s">
        <v>65</v>
      </c>
    </row>
    <row r="63" spans="8:8" x14ac:dyDescent="0.3">
      <c r="H63" s="44" t="s">
        <v>65</v>
      </c>
    </row>
    <row r="64" spans="8:8" x14ac:dyDescent="0.3">
      <c r="H64" s="44" t="s">
        <v>66</v>
      </c>
    </row>
    <row r="65" spans="8:8" x14ac:dyDescent="0.3">
      <c r="H65" s="44" t="s">
        <v>67</v>
      </c>
    </row>
    <row r="66" spans="8:8" x14ac:dyDescent="0.3">
      <c r="H66" s="44" t="s">
        <v>68</v>
      </c>
    </row>
    <row r="67" spans="8:8" x14ac:dyDescent="0.3">
      <c r="H67" s="44" t="s">
        <v>69</v>
      </c>
    </row>
    <row r="68" spans="8:8" x14ac:dyDescent="0.3">
      <c r="H68" s="44" t="s">
        <v>70</v>
      </c>
    </row>
    <row r="69" spans="8:8" x14ac:dyDescent="0.3">
      <c r="H69" s="44" t="s">
        <v>70</v>
      </c>
    </row>
    <row r="70" spans="8:8" x14ac:dyDescent="0.3">
      <c r="H70" s="44" t="s">
        <v>70</v>
      </c>
    </row>
    <row r="71" spans="8:8" x14ac:dyDescent="0.3">
      <c r="H71" s="44" t="s">
        <v>70</v>
      </c>
    </row>
    <row r="72" spans="8:8" x14ac:dyDescent="0.3">
      <c r="H72" s="44" t="s">
        <v>70</v>
      </c>
    </row>
    <row r="73" spans="8:8" x14ac:dyDescent="0.3">
      <c r="H73" s="44" t="s">
        <v>70</v>
      </c>
    </row>
    <row r="74" spans="8:8" x14ac:dyDescent="0.3">
      <c r="H74" s="44" t="s">
        <v>70</v>
      </c>
    </row>
    <row r="75" spans="8:8" x14ac:dyDescent="0.3">
      <c r="H75" s="44" t="s">
        <v>70</v>
      </c>
    </row>
    <row r="76" spans="8:8" x14ac:dyDescent="0.3">
      <c r="H76" s="44" t="s">
        <v>70</v>
      </c>
    </row>
    <row r="77" spans="8:8" x14ac:dyDescent="0.3">
      <c r="H77" s="44" t="s">
        <v>70</v>
      </c>
    </row>
    <row r="78" spans="8:8" x14ac:dyDescent="0.3">
      <c r="H78" s="44" t="s">
        <v>71</v>
      </c>
    </row>
    <row r="79" spans="8:8" x14ac:dyDescent="0.3">
      <c r="H79" s="44" t="s">
        <v>72</v>
      </c>
    </row>
    <row r="80" spans="8:8" x14ac:dyDescent="0.3">
      <c r="H80" s="44" t="s">
        <v>73</v>
      </c>
    </row>
    <row r="81" spans="8:8" x14ac:dyDescent="0.3">
      <c r="H81" s="44" t="s">
        <v>74</v>
      </c>
    </row>
    <row r="82" spans="8:8" x14ac:dyDescent="0.3">
      <c r="H82" s="44" t="s">
        <v>75</v>
      </c>
    </row>
    <row r="83" spans="8:8" x14ac:dyDescent="0.3">
      <c r="H83" s="44" t="s">
        <v>52</v>
      </c>
    </row>
    <row r="84" spans="8:8" x14ac:dyDescent="0.3">
      <c r="H84" s="44" t="s">
        <v>34</v>
      </c>
    </row>
    <row r="85" spans="8:8" x14ac:dyDescent="0.3">
      <c r="H85" s="44" t="s">
        <v>35</v>
      </c>
    </row>
    <row r="86" spans="8:8" x14ac:dyDescent="0.3">
      <c r="H86" s="44" t="s">
        <v>36</v>
      </c>
    </row>
    <row r="87" spans="8:8" x14ac:dyDescent="0.3">
      <c r="H87" s="44" t="s">
        <v>37</v>
      </c>
    </row>
    <row r="88" spans="8:8" x14ac:dyDescent="0.3">
      <c r="H88" s="44" t="s">
        <v>43</v>
      </c>
    </row>
    <row r="89" spans="8:8" x14ac:dyDescent="0.3">
      <c r="H89" s="44" t="s">
        <v>38</v>
      </c>
    </row>
    <row r="90" spans="8:8" x14ac:dyDescent="0.3">
      <c r="H90" s="44" t="s">
        <v>44</v>
      </c>
    </row>
    <row r="91" spans="8:8" x14ac:dyDescent="0.3">
      <c r="H91" s="44" t="s">
        <v>78</v>
      </c>
    </row>
    <row r="92" spans="8:8" x14ac:dyDescent="0.3">
      <c r="H92" s="44" t="s">
        <v>79</v>
      </c>
    </row>
    <row r="93" spans="8:8" x14ac:dyDescent="0.3">
      <c r="H93" s="44" t="s">
        <v>80</v>
      </c>
    </row>
    <row r="94" spans="8:8" x14ac:dyDescent="0.3">
      <c r="H94" s="44" t="s">
        <v>81</v>
      </c>
    </row>
    <row r="95" spans="8:8" x14ac:dyDescent="0.3">
      <c r="H95" s="44" t="s">
        <v>39</v>
      </c>
    </row>
    <row r="96" spans="8:8" x14ac:dyDescent="0.3">
      <c r="H96" s="44" t="s">
        <v>41</v>
      </c>
    </row>
    <row r="97" spans="8:8" x14ac:dyDescent="0.3">
      <c r="H97" s="44" t="s">
        <v>40</v>
      </c>
    </row>
    <row r="98" spans="8:8" x14ac:dyDescent="0.3">
      <c r="H98" s="44" t="s">
        <v>42</v>
      </c>
    </row>
    <row r="99" spans="8:8" x14ac:dyDescent="0.3">
      <c r="H99" s="44" t="s">
        <v>82</v>
      </c>
    </row>
    <row r="100" spans="8:8" x14ac:dyDescent="0.3">
      <c r="H100" s="44" t="s">
        <v>83</v>
      </c>
    </row>
    <row r="101" spans="8:8" x14ac:dyDescent="0.3">
      <c r="H101" s="44" t="s">
        <v>38</v>
      </c>
    </row>
    <row r="102" spans="8:8" x14ac:dyDescent="0.3">
      <c r="H102" s="44" t="s">
        <v>44</v>
      </c>
    </row>
    <row r="103" spans="8:8" x14ac:dyDescent="0.3">
      <c r="H103" s="44" t="s">
        <v>84</v>
      </c>
    </row>
    <row r="104" spans="8:8" x14ac:dyDescent="0.3">
      <c r="H104" s="44" t="s">
        <v>85</v>
      </c>
    </row>
    <row r="105" spans="8:8" x14ac:dyDescent="0.3">
      <c r="H105" s="44" t="s">
        <v>86</v>
      </c>
    </row>
    <row r="106" spans="8:8" x14ac:dyDescent="0.3">
      <c r="H106" s="44" t="s">
        <v>87</v>
      </c>
    </row>
    <row r="107" spans="8:8" x14ac:dyDescent="0.3">
      <c r="H107" s="44" t="s">
        <v>88</v>
      </c>
    </row>
    <row r="108" spans="8:8" x14ac:dyDescent="0.3">
      <c r="H108" s="44" t="s">
        <v>89</v>
      </c>
    </row>
    <row r="109" spans="8:8" x14ac:dyDescent="0.3">
      <c r="H109" s="44" t="s">
        <v>32</v>
      </c>
    </row>
    <row r="110" spans="8:8" x14ac:dyDescent="0.3">
      <c r="H110" s="44" t="s">
        <v>48</v>
      </c>
    </row>
    <row r="111" spans="8:8" x14ac:dyDescent="0.3">
      <c r="H111" s="44" t="s">
        <v>90</v>
      </c>
    </row>
    <row r="112" spans="8:8" x14ac:dyDescent="0.3">
      <c r="H112" s="44" t="s">
        <v>52</v>
      </c>
    </row>
    <row r="113" spans="8:8" x14ac:dyDescent="0.3">
      <c r="H113" s="44" t="s">
        <v>34</v>
      </c>
    </row>
    <row r="114" spans="8:8" x14ac:dyDescent="0.3">
      <c r="H114" s="44" t="s">
        <v>35</v>
      </c>
    </row>
    <row r="115" spans="8:8" x14ac:dyDescent="0.3">
      <c r="H115" s="44" t="s">
        <v>36</v>
      </c>
    </row>
    <row r="116" spans="8:8" x14ac:dyDescent="0.3">
      <c r="H116" s="44" t="s">
        <v>37</v>
      </c>
    </row>
    <row r="117" spans="8:8" x14ac:dyDescent="0.3">
      <c r="H117" s="44" t="s">
        <v>43</v>
      </c>
    </row>
    <row r="118" spans="8:8" x14ac:dyDescent="0.3">
      <c r="H118" s="44" t="s">
        <v>38</v>
      </c>
    </row>
    <row r="119" spans="8:8" x14ac:dyDescent="0.3">
      <c r="H119" s="44" t="s">
        <v>44</v>
      </c>
    </row>
    <row r="120" spans="8:8" x14ac:dyDescent="0.3">
      <c r="H120" s="44" t="s">
        <v>78</v>
      </c>
    </row>
    <row r="121" spans="8:8" x14ac:dyDescent="0.3">
      <c r="H121" s="44" t="s">
        <v>79</v>
      </c>
    </row>
    <row r="122" spans="8:8" x14ac:dyDescent="0.3">
      <c r="H122" s="44" t="s">
        <v>80</v>
      </c>
    </row>
    <row r="123" spans="8:8" x14ac:dyDescent="0.3">
      <c r="H123" s="44" t="s">
        <v>81</v>
      </c>
    </row>
    <row r="124" spans="8:8" x14ac:dyDescent="0.3">
      <c r="H124" s="44" t="s">
        <v>39</v>
      </c>
    </row>
    <row r="125" spans="8:8" x14ac:dyDescent="0.3">
      <c r="H125" s="44" t="s">
        <v>41</v>
      </c>
    </row>
    <row r="126" spans="8:8" x14ac:dyDescent="0.3">
      <c r="H126" s="44" t="s">
        <v>40</v>
      </c>
    </row>
    <row r="127" spans="8:8" x14ac:dyDescent="0.3">
      <c r="H127" s="44" t="s">
        <v>42</v>
      </c>
    </row>
    <row r="128" spans="8:8" x14ac:dyDescent="0.3">
      <c r="H128" s="44" t="s">
        <v>82</v>
      </c>
    </row>
    <row r="129" spans="8:8" x14ac:dyDescent="0.3">
      <c r="H129" s="44" t="s">
        <v>83</v>
      </c>
    </row>
    <row r="130" spans="8:8" x14ac:dyDescent="0.3">
      <c r="H130" s="44" t="s">
        <v>38</v>
      </c>
    </row>
    <row r="131" spans="8:8" x14ac:dyDescent="0.3">
      <c r="H131" s="44" t="s">
        <v>44</v>
      </c>
    </row>
    <row r="132" spans="8:8" x14ac:dyDescent="0.3">
      <c r="H132" s="44" t="s">
        <v>84</v>
      </c>
    </row>
    <row r="133" spans="8:8" x14ac:dyDescent="0.3">
      <c r="H133" s="44" t="s">
        <v>85</v>
      </c>
    </row>
    <row r="134" spans="8:8" x14ac:dyDescent="0.3">
      <c r="H134" s="44" t="s">
        <v>91</v>
      </c>
    </row>
    <row r="135" spans="8:8" x14ac:dyDescent="0.3">
      <c r="H135" s="44" t="s">
        <v>92</v>
      </c>
    </row>
    <row r="136" spans="8:8" x14ac:dyDescent="0.3">
      <c r="H136" s="44" t="s">
        <v>88</v>
      </c>
    </row>
    <row r="137" spans="8:8" x14ac:dyDescent="0.3">
      <c r="H137" s="44" t="s">
        <v>89</v>
      </c>
    </row>
    <row r="138" spans="8:8" x14ac:dyDescent="0.3">
      <c r="H138" s="44" t="s">
        <v>32</v>
      </c>
    </row>
    <row r="139" spans="8:8" x14ac:dyDescent="0.3">
      <c r="H139" s="44" t="s">
        <v>93</v>
      </c>
    </row>
    <row r="140" spans="8:8" x14ac:dyDescent="0.3">
      <c r="H140" s="44" t="s">
        <v>94</v>
      </c>
    </row>
    <row r="141" spans="8:8" x14ac:dyDescent="0.3">
      <c r="H141" s="44" t="s">
        <v>52</v>
      </c>
    </row>
    <row r="142" spans="8:8" x14ac:dyDescent="0.3">
      <c r="H142" s="44" t="s">
        <v>53</v>
      </c>
    </row>
    <row r="143" spans="8:8" x14ac:dyDescent="0.3">
      <c r="H143" s="44" t="s">
        <v>54</v>
      </c>
    </row>
    <row r="144" spans="8:8" x14ac:dyDescent="0.3">
      <c r="H144" s="44" t="s">
        <v>55</v>
      </c>
    </row>
    <row r="145" spans="8:8" x14ac:dyDescent="0.3">
      <c r="H145" s="44" t="s">
        <v>55</v>
      </c>
    </row>
    <row r="146" spans="8:8" x14ac:dyDescent="0.3">
      <c r="H146" s="44" t="s">
        <v>55</v>
      </c>
    </row>
    <row r="147" spans="8:8" x14ac:dyDescent="0.3">
      <c r="H147" s="44" t="s">
        <v>55</v>
      </c>
    </row>
    <row r="148" spans="8:8" x14ac:dyDescent="0.3">
      <c r="H148" s="44" t="s">
        <v>55</v>
      </c>
    </row>
    <row r="149" spans="8:8" x14ac:dyDescent="0.3">
      <c r="H149" s="44" t="s">
        <v>55</v>
      </c>
    </row>
    <row r="150" spans="8:8" x14ac:dyDescent="0.3">
      <c r="H150" s="44" t="s">
        <v>55</v>
      </c>
    </row>
    <row r="151" spans="8:8" x14ac:dyDescent="0.3">
      <c r="H151" s="44" t="s">
        <v>55</v>
      </c>
    </row>
    <row r="152" spans="8:8" x14ac:dyDescent="0.3">
      <c r="H152" s="44" t="s">
        <v>55</v>
      </c>
    </row>
    <row r="153" spans="8:8" x14ac:dyDescent="0.3">
      <c r="H153" s="44" t="s">
        <v>55</v>
      </c>
    </row>
    <row r="154" spans="8:8" x14ac:dyDescent="0.3">
      <c r="H154" s="44" t="s">
        <v>56</v>
      </c>
    </row>
    <row r="155" spans="8:8" x14ac:dyDescent="0.3">
      <c r="H155" s="44" t="s">
        <v>57</v>
      </c>
    </row>
    <row r="156" spans="8:8" x14ac:dyDescent="0.3">
      <c r="H156" s="44" t="s">
        <v>58</v>
      </c>
    </row>
    <row r="157" spans="8:8" x14ac:dyDescent="0.3">
      <c r="H157" s="44" t="s">
        <v>59</v>
      </c>
    </row>
    <row r="158" spans="8:8" x14ac:dyDescent="0.3">
      <c r="H158" s="44" t="s">
        <v>60</v>
      </c>
    </row>
    <row r="159" spans="8:8" x14ac:dyDescent="0.3">
      <c r="H159" s="44" t="s">
        <v>60</v>
      </c>
    </row>
    <row r="160" spans="8:8" x14ac:dyDescent="0.3">
      <c r="H160" s="44" t="s">
        <v>60</v>
      </c>
    </row>
    <row r="161" spans="8:8" x14ac:dyDescent="0.3">
      <c r="H161" s="44" t="s">
        <v>60</v>
      </c>
    </row>
    <row r="162" spans="8:8" x14ac:dyDescent="0.3">
      <c r="H162" s="44" t="s">
        <v>60</v>
      </c>
    </row>
    <row r="163" spans="8:8" x14ac:dyDescent="0.3">
      <c r="H163" s="44" t="s">
        <v>60</v>
      </c>
    </row>
    <row r="164" spans="8:8" x14ac:dyDescent="0.3">
      <c r="H164" s="44" t="s">
        <v>60</v>
      </c>
    </row>
    <row r="165" spans="8:8" x14ac:dyDescent="0.3">
      <c r="H165" s="44" t="s">
        <v>60</v>
      </c>
    </row>
    <row r="166" spans="8:8" x14ac:dyDescent="0.3">
      <c r="H166" s="44" t="s">
        <v>60</v>
      </c>
    </row>
    <row r="167" spans="8:8" x14ac:dyDescent="0.3">
      <c r="H167" s="44" t="s">
        <v>60</v>
      </c>
    </row>
    <row r="168" spans="8:8" x14ac:dyDescent="0.3">
      <c r="H168" s="44" t="s">
        <v>61</v>
      </c>
    </row>
    <row r="169" spans="8:8" x14ac:dyDescent="0.3">
      <c r="H169" s="44" t="s">
        <v>62</v>
      </c>
    </row>
    <row r="170" spans="8:8" x14ac:dyDescent="0.3">
      <c r="H170" s="44" t="s">
        <v>95</v>
      </c>
    </row>
    <row r="171" spans="8:8" x14ac:dyDescent="0.3">
      <c r="H171" s="44" t="s">
        <v>96</v>
      </c>
    </row>
    <row r="172" spans="8:8" x14ac:dyDescent="0.3">
      <c r="H172" s="44" t="s">
        <v>97</v>
      </c>
    </row>
    <row r="173" spans="8:8" x14ac:dyDescent="0.3">
      <c r="H173" s="44" t="s">
        <v>97</v>
      </c>
    </row>
    <row r="174" spans="8:8" x14ac:dyDescent="0.3">
      <c r="H174" s="44" t="s">
        <v>97</v>
      </c>
    </row>
    <row r="175" spans="8:8" x14ac:dyDescent="0.3">
      <c r="H175" s="44" t="s">
        <v>97</v>
      </c>
    </row>
    <row r="176" spans="8:8" x14ac:dyDescent="0.3">
      <c r="H176" s="44" t="s">
        <v>97</v>
      </c>
    </row>
    <row r="177" spans="8:8" x14ac:dyDescent="0.3">
      <c r="H177" s="44" t="s">
        <v>97</v>
      </c>
    </row>
    <row r="178" spans="8:8" x14ac:dyDescent="0.3">
      <c r="H178" s="44" t="s">
        <v>97</v>
      </c>
    </row>
    <row r="179" spans="8:8" x14ac:dyDescent="0.3">
      <c r="H179" s="44" t="s">
        <v>97</v>
      </c>
    </row>
    <row r="180" spans="8:8" x14ac:dyDescent="0.3">
      <c r="H180" s="44" t="s">
        <v>97</v>
      </c>
    </row>
    <row r="181" spans="8:8" x14ac:dyDescent="0.3">
      <c r="H181" s="44" t="s">
        <v>97</v>
      </c>
    </row>
    <row r="182" spans="8:8" x14ac:dyDescent="0.3">
      <c r="H182" s="44" t="s">
        <v>98</v>
      </c>
    </row>
    <row r="183" spans="8:8" x14ac:dyDescent="0.3">
      <c r="H183" s="44" t="s">
        <v>99</v>
      </c>
    </row>
    <row r="184" spans="8:8" x14ac:dyDescent="0.3">
      <c r="H184" s="44" t="s">
        <v>100</v>
      </c>
    </row>
    <row r="185" spans="8:8" x14ac:dyDescent="0.3">
      <c r="H185" s="44" t="s">
        <v>101</v>
      </c>
    </row>
    <row r="186" spans="8:8" x14ac:dyDescent="0.3">
      <c r="H186" s="44" t="s">
        <v>102</v>
      </c>
    </row>
    <row r="187" spans="8:8" x14ac:dyDescent="0.3">
      <c r="H187" s="44" t="s">
        <v>102</v>
      </c>
    </row>
    <row r="188" spans="8:8" x14ac:dyDescent="0.3">
      <c r="H188" s="44" t="s">
        <v>102</v>
      </c>
    </row>
    <row r="189" spans="8:8" x14ac:dyDescent="0.3">
      <c r="H189" s="44" t="s">
        <v>102</v>
      </c>
    </row>
    <row r="190" spans="8:8" x14ac:dyDescent="0.3">
      <c r="H190" s="44" t="s">
        <v>102</v>
      </c>
    </row>
    <row r="191" spans="8:8" x14ac:dyDescent="0.3">
      <c r="H191" s="44" t="s">
        <v>102</v>
      </c>
    </row>
    <row r="192" spans="8:8" x14ac:dyDescent="0.3">
      <c r="H192" s="44" t="s">
        <v>102</v>
      </c>
    </row>
    <row r="193" spans="8:8" x14ac:dyDescent="0.3">
      <c r="H193" s="44" t="s">
        <v>102</v>
      </c>
    </row>
    <row r="194" spans="8:8" x14ac:dyDescent="0.3">
      <c r="H194" s="44" t="s">
        <v>102</v>
      </c>
    </row>
    <row r="195" spans="8:8" x14ac:dyDescent="0.3">
      <c r="H195" s="44" t="s">
        <v>102</v>
      </c>
    </row>
    <row r="196" spans="8:8" x14ac:dyDescent="0.3">
      <c r="H196" s="44" t="s">
        <v>103</v>
      </c>
    </row>
    <row r="197" spans="8:8" x14ac:dyDescent="0.3">
      <c r="H197" s="44" t="s">
        <v>104</v>
      </c>
    </row>
    <row r="198" spans="8:8" x14ac:dyDescent="0.3">
      <c r="H198" s="44" t="s">
        <v>73</v>
      </c>
    </row>
    <row r="199" spans="8:8" x14ac:dyDescent="0.3">
      <c r="H199" s="44" t="s">
        <v>74</v>
      </c>
    </row>
    <row r="200" spans="8:8" x14ac:dyDescent="0.3">
      <c r="H200" s="44" t="s">
        <v>105</v>
      </c>
    </row>
    <row r="201" spans="8:8" x14ac:dyDescent="0.3">
      <c r="H201" s="44" t="s">
        <v>106</v>
      </c>
    </row>
    <row r="202" spans="8:8" x14ac:dyDescent="0.3">
      <c r="H202" s="44" t="s">
        <v>107</v>
      </c>
    </row>
    <row r="203" spans="8:8" x14ac:dyDescent="0.3">
      <c r="H203" s="44" t="s">
        <v>107</v>
      </c>
    </row>
    <row r="204" spans="8:8" x14ac:dyDescent="0.3">
      <c r="H204" s="44" t="s">
        <v>107</v>
      </c>
    </row>
    <row r="205" spans="8:8" x14ac:dyDescent="0.3">
      <c r="H205" s="44" t="s">
        <v>107</v>
      </c>
    </row>
    <row r="206" spans="8:8" x14ac:dyDescent="0.3">
      <c r="H206" s="44" t="s">
        <v>107</v>
      </c>
    </row>
    <row r="207" spans="8:8" x14ac:dyDescent="0.3">
      <c r="H207" s="44" t="s">
        <v>107</v>
      </c>
    </row>
    <row r="208" spans="8:8" x14ac:dyDescent="0.3">
      <c r="H208" s="44" t="s">
        <v>107</v>
      </c>
    </row>
    <row r="209" spans="8:8" x14ac:dyDescent="0.3">
      <c r="H209" s="44" t="s">
        <v>107</v>
      </c>
    </row>
    <row r="210" spans="8:8" x14ac:dyDescent="0.3">
      <c r="H210" s="44" t="s">
        <v>107</v>
      </c>
    </row>
    <row r="211" spans="8:8" x14ac:dyDescent="0.3">
      <c r="H211" s="44" t="s">
        <v>107</v>
      </c>
    </row>
    <row r="212" spans="8:8" x14ac:dyDescent="0.3">
      <c r="H212" s="44" t="s">
        <v>108</v>
      </c>
    </row>
    <row r="213" spans="8:8" x14ac:dyDescent="0.3">
      <c r="H213" s="44" t="s">
        <v>109</v>
      </c>
    </row>
    <row r="214" spans="8:8" x14ac:dyDescent="0.3">
      <c r="H214" s="44" t="s">
        <v>58</v>
      </c>
    </row>
    <row r="215" spans="8:8" x14ac:dyDescent="0.3">
      <c r="H215" s="44" t="s">
        <v>59</v>
      </c>
    </row>
    <row r="216" spans="8:8" x14ac:dyDescent="0.3">
      <c r="H216" s="44" t="s">
        <v>60</v>
      </c>
    </row>
    <row r="217" spans="8:8" x14ac:dyDescent="0.3">
      <c r="H217" s="44" t="s">
        <v>60</v>
      </c>
    </row>
    <row r="218" spans="8:8" x14ac:dyDescent="0.3">
      <c r="H218" s="44" t="s">
        <v>60</v>
      </c>
    </row>
    <row r="219" spans="8:8" x14ac:dyDescent="0.3">
      <c r="H219" s="44" t="s">
        <v>60</v>
      </c>
    </row>
    <row r="220" spans="8:8" x14ac:dyDescent="0.3">
      <c r="H220" s="44" t="s">
        <v>60</v>
      </c>
    </row>
    <row r="221" spans="8:8" x14ac:dyDescent="0.3">
      <c r="H221" s="44" t="s">
        <v>60</v>
      </c>
    </row>
    <row r="222" spans="8:8" x14ac:dyDescent="0.3">
      <c r="H222" s="44" t="s">
        <v>60</v>
      </c>
    </row>
    <row r="223" spans="8:8" x14ac:dyDescent="0.3">
      <c r="H223" s="44" t="s">
        <v>60</v>
      </c>
    </row>
    <row r="224" spans="8:8" x14ac:dyDescent="0.3">
      <c r="H224" s="44" t="s">
        <v>60</v>
      </c>
    </row>
    <row r="225" spans="8:8" x14ac:dyDescent="0.3">
      <c r="H225" s="44" t="s">
        <v>60</v>
      </c>
    </row>
    <row r="226" spans="8:8" x14ac:dyDescent="0.3">
      <c r="H226" s="44" t="s">
        <v>61</v>
      </c>
    </row>
    <row r="227" spans="8:8" x14ac:dyDescent="0.3">
      <c r="H227" s="44" t="s">
        <v>62</v>
      </c>
    </row>
    <row r="228" spans="8:8" x14ac:dyDescent="0.3">
      <c r="H228" s="44" t="s">
        <v>110</v>
      </c>
    </row>
    <row r="229" spans="8:8" x14ac:dyDescent="0.3">
      <c r="H229" s="44" t="s">
        <v>111</v>
      </c>
    </row>
    <row r="230" spans="8:8" x14ac:dyDescent="0.3">
      <c r="H230" s="44" t="s">
        <v>112</v>
      </c>
    </row>
    <row r="231" spans="8:8" x14ac:dyDescent="0.3">
      <c r="H231" s="44" t="s">
        <v>112</v>
      </c>
    </row>
    <row r="232" spans="8:8" x14ac:dyDescent="0.3">
      <c r="H232" s="44" t="s">
        <v>112</v>
      </c>
    </row>
    <row r="233" spans="8:8" x14ac:dyDescent="0.3">
      <c r="H233" s="44" t="s">
        <v>112</v>
      </c>
    </row>
    <row r="234" spans="8:8" x14ac:dyDescent="0.3">
      <c r="H234" s="44" t="s">
        <v>112</v>
      </c>
    </row>
    <row r="235" spans="8:8" x14ac:dyDescent="0.3">
      <c r="H235" s="44" t="s">
        <v>112</v>
      </c>
    </row>
    <row r="236" spans="8:8" x14ac:dyDescent="0.3">
      <c r="H236" s="44" t="s">
        <v>112</v>
      </c>
    </row>
    <row r="237" spans="8:8" x14ac:dyDescent="0.3">
      <c r="H237" s="44" t="s">
        <v>112</v>
      </c>
    </row>
    <row r="238" spans="8:8" x14ac:dyDescent="0.3">
      <c r="H238" s="44" t="s">
        <v>112</v>
      </c>
    </row>
    <row r="239" spans="8:8" x14ac:dyDescent="0.3">
      <c r="H239" s="44" t="s">
        <v>112</v>
      </c>
    </row>
    <row r="240" spans="8:8" x14ac:dyDescent="0.3">
      <c r="H240" s="44" t="s">
        <v>113</v>
      </c>
    </row>
    <row r="241" spans="8:8" x14ac:dyDescent="0.3">
      <c r="H241" s="44" t="s">
        <v>114</v>
      </c>
    </row>
    <row r="242" spans="8:8" x14ac:dyDescent="0.3">
      <c r="H242" s="44" t="s">
        <v>116</v>
      </c>
    </row>
    <row r="243" spans="8:8" x14ac:dyDescent="0.3">
      <c r="H243" s="44" t="s">
        <v>117</v>
      </c>
    </row>
    <row r="244" spans="8:8" x14ac:dyDescent="0.3">
      <c r="H244" s="44" t="s">
        <v>118</v>
      </c>
    </row>
    <row r="245" spans="8:8" x14ac:dyDescent="0.3">
      <c r="H245" s="44" t="s">
        <v>118</v>
      </c>
    </row>
    <row r="246" spans="8:8" x14ac:dyDescent="0.3">
      <c r="H246" s="44" t="s">
        <v>118</v>
      </c>
    </row>
    <row r="247" spans="8:8" x14ac:dyDescent="0.3">
      <c r="H247" s="44" t="s">
        <v>118</v>
      </c>
    </row>
    <row r="248" spans="8:8" x14ac:dyDescent="0.3">
      <c r="H248" s="44" t="s">
        <v>118</v>
      </c>
    </row>
    <row r="249" spans="8:8" x14ac:dyDescent="0.3">
      <c r="H249" s="44" t="s">
        <v>118</v>
      </c>
    </row>
    <row r="250" spans="8:8" x14ac:dyDescent="0.3">
      <c r="H250" s="44" t="s">
        <v>118</v>
      </c>
    </row>
    <row r="251" spans="8:8" x14ac:dyDescent="0.3">
      <c r="H251" s="44" t="s">
        <v>118</v>
      </c>
    </row>
    <row r="252" spans="8:8" x14ac:dyDescent="0.3">
      <c r="H252" s="44" t="s">
        <v>118</v>
      </c>
    </row>
    <row r="253" spans="8:8" x14ac:dyDescent="0.3">
      <c r="H253" s="44" t="s">
        <v>118</v>
      </c>
    </row>
    <row r="254" spans="8:8" x14ac:dyDescent="0.3">
      <c r="H254" s="44" t="s">
        <v>119</v>
      </c>
    </row>
    <row r="255" spans="8:8" x14ac:dyDescent="0.3">
      <c r="H255" s="44" t="s">
        <v>120</v>
      </c>
    </row>
    <row r="256" spans="8:8" x14ac:dyDescent="0.3">
      <c r="H256" s="44" t="s">
        <v>121</v>
      </c>
    </row>
    <row r="257" spans="8:8" x14ac:dyDescent="0.3">
      <c r="H257" s="44" t="s">
        <v>52</v>
      </c>
    </row>
    <row r="258" spans="8:8" x14ac:dyDescent="0.3">
      <c r="H258" s="44" t="s">
        <v>34</v>
      </c>
    </row>
    <row r="259" spans="8:8" x14ac:dyDescent="0.3">
      <c r="H259" s="44" t="s">
        <v>35</v>
      </c>
    </row>
    <row r="260" spans="8:8" x14ac:dyDescent="0.3">
      <c r="H260" s="44" t="s">
        <v>36</v>
      </c>
    </row>
    <row r="261" spans="8:8" x14ac:dyDescent="0.3">
      <c r="H261" s="44" t="s">
        <v>37</v>
      </c>
    </row>
    <row r="262" spans="8:8" x14ac:dyDescent="0.3">
      <c r="H262" s="44" t="s">
        <v>43</v>
      </c>
    </row>
    <row r="263" spans="8:8" x14ac:dyDescent="0.3">
      <c r="H263" s="44" t="s">
        <v>38</v>
      </c>
    </row>
    <row r="264" spans="8:8" x14ac:dyDescent="0.3">
      <c r="H264" s="44" t="s">
        <v>44</v>
      </c>
    </row>
    <row r="265" spans="8:8" x14ac:dyDescent="0.3">
      <c r="H265" s="44" t="s">
        <v>78</v>
      </c>
    </row>
    <row r="266" spans="8:8" x14ac:dyDescent="0.3">
      <c r="H266" s="44" t="s">
        <v>79</v>
      </c>
    </row>
    <row r="267" spans="8:8" x14ac:dyDescent="0.3">
      <c r="H267" s="44" t="s">
        <v>80</v>
      </c>
    </row>
    <row r="268" spans="8:8" x14ac:dyDescent="0.3">
      <c r="H268" s="44" t="s">
        <v>81</v>
      </c>
    </row>
    <row r="269" spans="8:8" x14ac:dyDescent="0.3">
      <c r="H269" s="44" t="s">
        <v>39</v>
      </c>
    </row>
    <row r="270" spans="8:8" x14ac:dyDescent="0.3">
      <c r="H270" s="44" t="s">
        <v>41</v>
      </c>
    </row>
    <row r="271" spans="8:8" x14ac:dyDescent="0.3">
      <c r="H271" s="44" t="s">
        <v>40</v>
      </c>
    </row>
    <row r="272" spans="8:8" x14ac:dyDescent="0.3">
      <c r="H272" s="44" t="s">
        <v>42</v>
      </c>
    </row>
    <row r="273" spans="8:8" x14ac:dyDescent="0.3">
      <c r="H273" s="44" t="s">
        <v>122</v>
      </c>
    </row>
    <row r="274" spans="8:8" x14ac:dyDescent="0.3">
      <c r="H274" s="44" t="s">
        <v>123</v>
      </c>
    </row>
    <row r="275" spans="8:8" x14ac:dyDescent="0.3">
      <c r="H275" s="44" t="s">
        <v>38</v>
      </c>
    </row>
    <row r="276" spans="8:8" x14ac:dyDescent="0.3">
      <c r="H276" s="44" t="s">
        <v>44</v>
      </c>
    </row>
    <row r="277" spans="8:8" x14ac:dyDescent="0.3">
      <c r="H277" s="44" t="s">
        <v>124</v>
      </c>
    </row>
    <row r="278" spans="8:8" x14ac:dyDescent="0.3">
      <c r="H278" s="44" t="s">
        <v>125</v>
      </c>
    </row>
    <row r="279" spans="8:8" x14ac:dyDescent="0.3">
      <c r="H279" s="44" t="s">
        <v>126</v>
      </c>
    </row>
    <row r="280" spans="8:8" x14ac:dyDescent="0.3">
      <c r="H280" s="44" t="s">
        <v>127</v>
      </c>
    </row>
    <row r="281" spans="8:8" x14ac:dyDescent="0.3">
      <c r="H281" s="44" t="s">
        <v>88</v>
      </c>
    </row>
    <row r="282" spans="8:8" x14ac:dyDescent="0.3">
      <c r="H282" s="44" t="s">
        <v>128</v>
      </c>
    </row>
    <row r="283" spans="8:8" x14ac:dyDescent="0.3">
      <c r="H283" s="44" t="s">
        <v>32</v>
      </c>
    </row>
    <row r="284" spans="8:8" x14ac:dyDescent="0.3">
      <c r="H284" s="44" t="s">
        <v>93</v>
      </c>
    </row>
    <row r="285" spans="8:8" x14ac:dyDescent="0.3">
      <c r="H285" s="44" t="s">
        <v>129</v>
      </c>
    </row>
    <row r="286" spans="8:8" x14ac:dyDescent="0.3">
      <c r="H286" s="44" t="s">
        <v>52</v>
      </c>
    </row>
    <row r="287" spans="8:8" x14ac:dyDescent="0.3">
      <c r="H287" s="44" t="s">
        <v>138</v>
      </c>
    </row>
    <row r="288" spans="8:8" x14ac:dyDescent="0.3">
      <c r="H288" s="44" t="s">
        <v>52</v>
      </c>
    </row>
    <row r="289" spans="8:8" x14ac:dyDescent="0.3">
      <c r="H289" s="44" t="s">
        <v>138</v>
      </c>
    </row>
    <row r="290" spans="8:8" x14ac:dyDescent="0.3">
      <c r="H290" s="44" t="s">
        <v>52</v>
      </c>
    </row>
    <row r="291" spans="8:8" x14ac:dyDescent="0.3">
      <c r="H291" s="44" t="s">
        <v>138</v>
      </c>
    </row>
    <row r="292" spans="8:8" x14ac:dyDescent="0.3">
      <c r="H292" s="44" t="s">
        <v>52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">
                <anchor moveWithCells="1">
                  <from>
                    <xdr:col>4</xdr:col>
                    <xdr:colOff>2202180</xdr:colOff>
                    <xdr:row>3</xdr:row>
                    <xdr:rowOff>15240</xdr:rowOff>
                  </from>
                  <to>
                    <xdr:col>5</xdr:col>
                    <xdr:colOff>1478280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ecksumPrüfer">
                <anchor moveWithCells="1">
                  <from>
                    <xdr:col>4</xdr:col>
                    <xdr:colOff>716280</xdr:colOff>
                    <xdr:row>6</xdr:row>
                    <xdr:rowOff>7620</xdr:rowOff>
                  </from>
                  <to>
                    <xdr:col>4</xdr:col>
                    <xdr:colOff>2217420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6" name="Button 2365">
              <controlPr defaultSize="0" print="0" autoFill="0" autoPict="0" macro="[0]!Import">
                <anchor moveWithCells="1">
                  <from>
                    <xdr:col>4</xdr:col>
                    <xdr:colOff>701040</xdr:colOff>
                    <xdr:row>3</xdr:row>
                    <xdr:rowOff>7620</xdr:rowOff>
                  </from>
                  <to>
                    <xdr:col>4</xdr:col>
                    <xdr:colOff>2202180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" r:id="rId7" name="Button 2366">
              <controlPr defaultSize="0" print="0" autoFill="0" autoPict="0" macro="[0]!Checksumberechnen">
                <anchor moveWithCells="1">
                  <from>
                    <xdr:col>4</xdr:col>
                    <xdr:colOff>2217420</xdr:colOff>
                    <xdr:row>6</xdr:row>
                    <xdr:rowOff>7620</xdr:rowOff>
                  </from>
                  <to>
                    <xdr:col>5</xdr:col>
                    <xdr:colOff>1493520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8" name="Button 2560">
              <controlPr defaultSize="0" print="0" autoFill="0" autoPict="0" macro="[0]!LogEinausBlenden">
                <anchor moveWithCells="1">
                  <from>
                    <xdr:col>4</xdr:col>
                    <xdr:colOff>739140</xdr:colOff>
                    <xdr:row>9</xdr:row>
                    <xdr:rowOff>22860</xdr:rowOff>
                  </from>
                  <to>
                    <xdr:col>5</xdr:col>
                    <xdr:colOff>15240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9" name="Button 2813">
              <controlPr defaultSize="0" print="0" autoFill="0" autoPict="0" macro="[0]!LogExport">
                <anchor moveWithCells="1">
                  <from>
                    <xdr:col>4</xdr:col>
                    <xdr:colOff>2217420</xdr:colOff>
                    <xdr:row>9</xdr:row>
                    <xdr:rowOff>0</xdr:rowOff>
                  </from>
                  <to>
                    <xdr:col>5</xdr:col>
                    <xdr:colOff>1485900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10" name="Kontrollkästchen 1">
              <controlPr defaultSize="0" autoFill="0" autoLine="0" autoPict="0">
                <anchor moveWithCells="1">
                  <from>
                    <xdr:col>2</xdr:col>
                    <xdr:colOff>53340</xdr:colOff>
                    <xdr:row>0</xdr:row>
                    <xdr:rowOff>167640</xdr:rowOff>
                  </from>
                  <to>
                    <xdr:col>2</xdr:col>
                    <xdr:colOff>434340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11" name="Kontrollkästchen 2">
              <controlPr defaultSize="0" autoFill="0" autoLine="0" autoPict="0">
                <anchor moveWithCells="1">
                  <from>
                    <xdr:col>2</xdr:col>
                    <xdr:colOff>53340</xdr:colOff>
                    <xdr:row>1</xdr:row>
                    <xdr:rowOff>160020</xdr:rowOff>
                  </from>
                  <to>
                    <xdr:col>2</xdr:col>
                    <xdr:colOff>434340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12" name="Kontrollkästchen 3">
              <controlPr defaultSize="0" autoFill="0" autoLine="0" autoPict="0">
                <anchor moveWithCells="1">
                  <from>
                    <xdr:col>2</xdr:col>
                    <xdr:colOff>53340</xdr:colOff>
                    <xdr:row>2</xdr:row>
                    <xdr:rowOff>160020</xdr:rowOff>
                  </from>
                  <to>
                    <xdr:col>2</xdr:col>
                    <xdr:colOff>434340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13" name="Kontrollkästchen 4">
              <controlPr defaultSize="0" autoFill="0" autoLine="0" autoPict="0">
                <anchor moveWithCells="1">
                  <from>
                    <xdr:col>2</xdr:col>
                    <xdr:colOff>53340</xdr:colOff>
                    <xdr:row>3</xdr:row>
                    <xdr:rowOff>160020</xdr:rowOff>
                  </from>
                  <to>
                    <xdr:col>2</xdr:col>
                    <xdr:colOff>434340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14" name="Kontrollkästchen 5">
              <controlPr defaultSize="0" autoFill="0" autoLine="0" autoPict="0">
                <anchor moveWithCells="1">
                  <from>
                    <xdr:col>2</xdr:col>
                    <xdr:colOff>53340</xdr:colOff>
                    <xdr:row>4</xdr:row>
                    <xdr:rowOff>160020</xdr:rowOff>
                  </from>
                  <to>
                    <xdr:col>2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15" name="Kontrollkästchen 6">
              <controlPr defaultSize="0" autoFill="0" autoLine="0" autoPict="0">
                <anchor moveWithCells="1">
                  <from>
                    <xdr:col>2</xdr:col>
                    <xdr:colOff>53340</xdr:colOff>
                    <xdr:row>5</xdr:row>
                    <xdr:rowOff>160020</xdr:rowOff>
                  </from>
                  <to>
                    <xdr:col>2</xdr:col>
                    <xdr:colOff>434340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16" name="Kontrollkästchen 7">
              <controlPr defaultSize="0" autoFill="0" autoLine="0" autoPict="0">
                <anchor moveWithCells="1">
                  <from>
                    <xdr:col>2</xdr:col>
                    <xdr:colOff>53340</xdr:colOff>
                    <xdr:row>6</xdr:row>
                    <xdr:rowOff>160020</xdr:rowOff>
                  </from>
                  <to>
                    <xdr:col>2</xdr:col>
                    <xdr:colOff>434340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17" name="Kontrollkästchen 8">
              <controlPr defaultSize="0" autoFill="0" autoLine="0" autoPict="0">
                <anchor moveWithCells="1">
                  <from>
                    <xdr:col>2</xdr:col>
                    <xdr:colOff>53340</xdr:colOff>
                    <xdr:row>7</xdr:row>
                    <xdr:rowOff>160020</xdr:rowOff>
                  </from>
                  <to>
                    <xdr:col>2</xdr:col>
                    <xdr:colOff>434340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18" name="Kontrollkästchen 9">
              <controlPr defaultSize="0" autoFill="0" autoLine="0" autoPict="0">
                <anchor moveWithCells="1">
                  <from>
                    <xdr:col>2</xdr:col>
                    <xdr:colOff>53340</xdr:colOff>
                    <xdr:row>8</xdr:row>
                    <xdr:rowOff>160020</xdr:rowOff>
                  </from>
                  <to>
                    <xdr:col>2</xdr:col>
                    <xdr:colOff>434340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19" name="Kontrollkästchen 10">
              <controlPr defaultSize="0" autoFill="0" autoLine="0" autoPict="0">
                <anchor moveWithCells="1">
                  <from>
                    <xdr:col>2</xdr:col>
                    <xdr:colOff>53340</xdr:colOff>
                    <xdr:row>9</xdr:row>
                    <xdr:rowOff>160020</xdr:rowOff>
                  </from>
                  <to>
                    <xdr:col>2</xdr:col>
                    <xdr:colOff>434340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20" name="Button 3227">
              <controlPr defaultSize="0" print="0" autoFill="0" autoPict="0" macro="[0]!Userformstarten">
                <anchor moveWithCells="1">
                  <from>
                    <xdr:col>4</xdr:col>
                    <xdr:colOff>754380</xdr:colOff>
                    <xdr:row>12</xdr:row>
                    <xdr:rowOff>175260</xdr:rowOff>
                  </from>
                  <to>
                    <xdr:col>5</xdr:col>
                    <xdr:colOff>22860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6AE79-2DF8-41D7-9746-A0500772F78A}">
  <sheetPr codeName="Tabelle3"/>
  <dimension ref="A1:J181"/>
  <sheetViews>
    <sheetView tabSelected="1" workbookViewId="0">
      <selection activeCell="J12" sqref="J12"/>
    </sheetView>
  </sheetViews>
  <sheetFormatPr baseColWidth="10" defaultRowHeight="14.4" x14ac:dyDescent="0.3"/>
  <cols>
    <col min="2" max="2" width="12.21875" style="45" bestFit="1" customWidth="1"/>
    <col min="5" max="5" width="14.21875" bestFit="1" customWidth="1"/>
    <col min="8" max="8" width="62.44140625" bestFit="1" customWidth="1"/>
    <col min="10" max="10" width="12" bestFit="1" customWidth="1"/>
  </cols>
  <sheetData>
    <row r="1" spans="1:10" x14ac:dyDescent="0.3">
      <c r="A1" s="26"/>
      <c r="B1" s="46"/>
      <c r="C1" s="26"/>
      <c r="D1" s="26"/>
      <c r="E1" s="26"/>
      <c r="F1" s="26"/>
      <c r="G1" s="26"/>
      <c r="H1" s="26"/>
    </row>
    <row r="2" spans="1:10" x14ac:dyDescent="0.3">
      <c r="B2" s="32">
        <v>12345612343</v>
      </c>
      <c r="C2" t="s">
        <v>76</v>
      </c>
      <c r="E2" t="s">
        <v>77</v>
      </c>
      <c r="H2" t="s">
        <v>137</v>
      </c>
    </row>
    <row r="3" spans="1:10" x14ac:dyDescent="0.3">
      <c r="B3" s="32">
        <v>34434556735</v>
      </c>
      <c r="E3" s="47" t="s">
        <v>1</v>
      </c>
      <c r="H3" s="48" t="s">
        <v>136</v>
      </c>
    </row>
    <row r="4" spans="1:10" x14ac:dyDescent="0.3">
      <c r="B4" s="32" t="s">
        <v>115</v>
      </c>
      <c r="E4" s="47">
        <v>34434556735</v>
      </c>
      <c r="H4" s="48" t="s">
        <v>141</v>
      </c>
    </row>
    <row r="5" spans="1:10" x14ac:dyDescent="0.3">
      <c r="B5" s="32">
        <v>12345678907</v>
      </c>
      <c r="E5" s="47">
        <v>45353454678</v>
      </c>
      <c r="H5" s="48" t="s">
        <v>136</v>
      </c>
    </row>
    <row r="6" spans="1:10" x14ac:dyDescent="0.3">
      <c r="B6" s="47">
        <v>12345678907</v>
      </c>
      <c r="E6" s="47" t="s">
        <v>26</v>
      </c>
      <c r="H6" s="48" t="s">
        <v>141</v>
      </c>
    </row>
    <row r="7" spans="1:10" x14ac:dyDescent="0.3">
      <c r="B7" s="47" t="s">
        <v>115</v>
      </c>
      <c r="E7" s="47">
        <v>344345567</v>
      </c>
      <c r="H7" s="48" t="s">
        <v>136</v>
      </c>
    </row>
    <row r="8" spans="1:10" x14ac:dyDescent="0.3">
      <c r="B8" s="47">
        <v>12345612343</v>
      </c>
      <c r="E8" s="47">
        <v>12345670</v>
      </c>
      <c r="H8" s="48" t="s">
        <v>133</v>
      </c>
      <c r="J8">
        <v>1234567890</v>
      </c>
    </row>
    <row r="9" spans="1:10" x14ac:dyDescent="0.3">
      <c r="B9" s="45">
        <v>12345678907</v>
      </c>
      <c r="H9" s="48" t="s">
        <v>135</v>
      </c>
      <c r="J9">
        <v>12345678909</v>
      </c>
    </row>
    <row r="10" spans="1:10" x14ac:dyDescent="0.3">
      <c r="B10" s="45">
        <v>12345678907</v>
      </c>
      <c r="H10" s="48" t="s">
        <v>133</v>
      </c>
    </row>
    <row r="11" spans="1:10" x14ac:dyDescent="0.3">
      <c r="B11" s="45">
        <v>12345678907</v>
      </c>
      <c r="H11" s="48" t="s">
        <v>135</v>
      </c>
    </row>
    <row r="12" spans="1:10" x14ac:dyDescent="0.3">
      <c r="B12" s="45">
        <v>12345678907</v>
      </c>
      <c r="H12" s="48" t="s">
        <v>139</v>
      </c>
    </row>
    <row r="13" spans="1:10" x14ac:dyDescent="0.3">
      <c r="B13" s="45">
        <v>12345678907</v>
      </c>
      <c r="H13" s="48" t="s">
        <v>140</v>
      </c>
    </row>
    <row r="14" spans="1:10" x14ac:dyDescent="0.3">
      <c r="H14" s="48" t="s">
        <v>139</v>
      </c>
    </row>
    <row r="15" spans="1:10" x14ac:dyDescent="0.3">
      <c r="H15" s="48" t="s">
        <v>140</v>
      </c>
    </row>
    <row r="16" spans="1:10" x14ac:dyDescent="0.3">
      <c r="H16" s="48" t="s">
        <v>133</v>
      </c>
    </row>
    <row r="17" spans="8:8" x14ac:dyDescent="0.3">
      <c r="H17" s="48" t="s">
        <v>135</v>
      </c>
    </row>
    <row r="18" spans="8:8" x14ac:dyDescent="0.3">
      <c r="H18" s="48" t="s">
        <v>139</v>
      </c>
    </row>
    <row r="19" spans="8:8" x14ac:dyDescent="0.3">
      <c r="H19" s="48" t="s">
        <v>140</v>
      </c>
    </row>
    <row r="20" spans="8:8" x14ac:dyDescent="0.3">
      <c r="H20" s="48" t="s">
        <v>142</v>
      </c>
    </row>
    <row r="21" spans="8:8" x14ac:dyDescent="0.3">
      <c r="H21" s="48" t="s">
        <v>133</v>
      </c>
    </row>
    <row r="22" spans="8:8" x14ac:dyDescent="0.3">
      <c r="H22" s="48" t="s">
        <v>135</v>
      </c>
    </row>
    <row r="23" spans="8:8" x14ac:dyDescent="0.3">
      <c r="H23" s="48" t="s">
        <v>139</v>
      </c>
    </row>
    <row r="24" spans="8:8" x14ac:dyDescent="0.3">
      <c r="H24" s="48" t="s">
        <v>140</v>
      </c>
    </row>
    <row r="25" spans="8:8" x14ac:dyDescent="0.3">
      <c r="H25" s="48" t="s">
        <v>143</v>
      </c>
    </row>
    <row r="26" spans="8:8" x14ac:dyDescent="0.3">
      <c r="H26" s="48" t="s">
        <v>133</v>
      </c>
    </row>
    <row r="27" spans="8:8" x14ac:dyDescent="0.3">
      <c r="H27" s="48" t="s">
        <v>134</v>
      </c>
    </row>
    <row r="28" spans="8:8" x14ac:dyDescent="0.3">
      <c r="H28" s="48" t="s">
        <v>133</v>
      </c>
    </row>
    <row r="29" spans="8:8" x14ac:dyDescent="0.3">
      <c r="H29" s="48" t="s">
        <v>135</v>
      </c>
    </row>
    <row r="30" spans="8:8" x14ac:dyDescent="0.3">
      <c r="H30" s="48" t="s">
        <v>130</v>
      </c>
    </row>
    <row r="31" spans="8:8" x14ac:dyDescent="0.3">
      <c r="H31" s="48" t="s">
        <v>131</v>
      </c>
    </row>
    <row r="32" spans="8:8" x14ac:dyDescent="0.3">
      <c r="H32" s="48" t="s">
        <v>132</v>
      </c>
    </row>
    <row r="33" spans="8:8" x14ac:dyDescent="0.3">
      <c r="H33" s="48" t="s">
        <v>133</v>
      </c>
    </row>
    <row r="34" spans="8:8" x14ac:dyDescent="0.3">
      <c r="H34" s="48" t="s">
        <v>134</v>
      </c>
    </row>
    <row r="35" spans="8:8" x14ac:dyDescent="0.3">
      <c r="H35" s="48" t="s">
        <v>141</v>
      </c>
    </row>
    <row r="36" spans="8:8" x14ac:dyDescent="0.3">
      <c r="H36" s="48" t="s">
        <v>136</v>
      </c>
    </row>
    <row r="37" spans="8:8" x14ac:dyDescent="0.3">
      <c r="H37" s="48"/>
    </row>
    <row r="38" spans="8:8" x14ac:dyDescent="0.3">
      <c r="H38" s="48"/>
    </row>
    <row r="39" spans="8:8" x14ac:dyDescent="0.3">
      <c r="H39" s="48"/>
    </row>
    <row r="40" spans="8:8" x14ac:dyDescent="0.3">
      <c r="H40" s="48"/>
    </row>
    <row r="41" spans="8:8" x14ac:dyDescent="0.3">
      <c r="H41" s="48"/>
    </row>
    <row r="42" spans="8:8" x14ac:dyDescent="0.3">
      <c r="H42" s="48"/>
    </row>
    <row r="43" spans="8:8" x14ac:dyDescent="0.3">
      <c r="H43" s="48"/>
    </row>
    <row r="44" spans="8:8" x14ac:dyDescent="0.3">
      <c r="H44" s="48"/>
    </row>
    <row r="45" spans="8:8" x14ac:dyDescent="0.3">
      <c r="H45" s="48"/>
    </row>
    <row r="46" spans="8:8" x14ac:dyDescent="0.3">
      <c r="H46" s="48"/>
    </row>
    <row r="47" spans="8:8" x14ac:dyDescent="0.3">
      <c r="H47" s="48"/>
    </row>
    <row r="48" spans="8:8" x14ac:dyDescent="0.3">
      <c r="H48" s="48"/>
    </row>
    <row r="49" spans="8:8" x14ac:dyDescent="0.3">
      <c r="H49" s="48"/>
    </row>
    <row r="50" spans="8:8" x14ac:dyDescent="0.3">
      <c r="H50" s="48"/>
    </row>
    <row r="51" spans="8:8" x14ac:dyDescent="0.3">
      <c r="H51" s="48"/>
    </row>
    <row r="52" spans="8:8" x14ac:dyDescent="0.3">
      <c r="H52" s="48"/>
    </row>
    <row r="53" spans="8:8" x14ac:dyDescent="0.3">
      <c r="H53" s="48"/>
    </row>
    <row r="54" spans="8:8" x14ac:dyDescent="0.3">
      <c r="H54" s="48"/>
    </row>
    <row r="55" spans="8:8" x14ac:dyDescent="0.3">
      <c r="H55" s="48"/>
    </row>
    <row r="56" spans="8:8" x14ac:dyDescent="0.3">
      <c r="H56" s="48"/>
    </row>
    <row r="57" spans="8:8" x14ac:dyDescent="0.3">
      <c r="H57" s="48"/>
    </row>
    <row r="58" spans="8:8" x14ac:dyDescent="0.3">
      <c r="H58" s="48"/>
    </row>
    <row r="59" spans="8:8" x14ac:dyDescent="0.3">
      <c r="H59" s="48"/>
    </row>
    <row r="60" spans="8:8" x14ac:dyDescent="0.3">
      <c r="H60" s="48"/>
    </row>
    <row r="61" spans="8:8" x14ac:dyDescent="0.3">
      <c r="H61" s="48"/>
    </row>
    <row r="62" spans="8:8" x14ac:dyDescent="0.3">
      <c r="H62" s="48"/>
    </row>
    <row r="63" spans="8:8" x14ac:dyDescent="0.3">
      <c r="H63" s="48"/>
    </row>
    <row r="64" spans="8:8" x14ac:dyDescent="0.3">
      <c r="H64" s="48"/>
    </row>
    <row r="65" spans="8:8" x14ac:dyDescent="0.3">
      <c r="H65" s="48"/>
    </row>
    <row r="66" spans="8:8" x14ac:dyDescent="0.3">
      <c r="H66" s="48"/>
    </row>
    <row r="67" spans="8:8" x14ac:dyDescent="0.3">
      <c r="H67" s="48"/>
    </row>
    <row r="68" spans="8:8" x14ac:dyDescent="0.3">
      <c r="H68" s="48"/>
    </row>
    <row r="69" spans="8:8" x14ac:dyDescent="0.3">
      <c r="H69" s="48"/>
    </row>
    <row r="70" spans="8:8" x14ac:dyDescent="0.3">
      <c r="H70" s="48"/>
    </row>
    <row r="71" spans="8:8" x14ac:dyDescent="0.3">
      <c r="H71" s="48"/>
    </row>
    <row r="72" spans="8:8" x14ac:dyDescent="0.3">
      <c r="H72" s="48"/>
    </row>
    <row r="73" spans="8:8" x14ac:dyDescent="0.3">
      <c r="H73" s="48"/>
    </row>
    <row r="74" spans="8:8" x14ac:dyDescent="0.3">
      <c r="H74" s="48"/>
    </row>
    <row r="75" spans="8:8" x14ac:dyDescent="0.3">
      <c r="H75" s="48"/>
    </row>
    <row r="76" spans="8:8" x14ac:dyDescent="0.3">
      <c r="H76" s="48"/>
    </row>
    <row r="77" spans="8:8" x14ac:dyDescent="0.3">
      <c r="H77" s="48"/>
    </row>
    <row r="78" spans="8:8" x14ac:dyDescent="0.3">
      <c r="H78" s="48"/>
    </row>
    <row r="79" spans="8:8" x14ac:dyDescent="0.3">
      <c r="H79" s="48"/>
    </row>
    <row r="80" spans="8:8" x14ac:dyDescent="0.3">
      <c r="H80" s="48"/>
    </row>
    <row r="81" spans="8:8" x14ac:dyDescent="0.3">
      <c r="H81" s="48"/>
    </row>
    <row r="82" spans="8:8" x14ac:dyDescent="0.3">
      <c r="H82" s="48"/>
    </row>
    <row r="83" spans="8:8" x14ac:dyDescent="0.3">
      <c r="H83" s="48"/>
    </row>
    <row r="84" spans="8:8" x14ac:dyDescent="0.3">
      <c r="H84" s="48"/>
    </row>
    <row r="85" spans="8:8" x14ac:dyDescent="0.3">
      <c r="H85" s="48"/>
    </row>
    <row r="86" spans="8:8" x14ac:dyDescent="0.3">
      <c r="H86" s="48"/>
    </row>
    <row r="87" spans="8:8" x14ac:dyDescent="0.3">
      <c r="H87" s="48"/>
    </row>
    <row r="88" spans="8:8" x14ac:dyDescent="0.3">
      <c r="H88" s="48"/>
    </row>
    <row r="89" spans="8:8" x14ac:dyDescent="0.3">
      <c r="H89" s="48"/>
    </row>
    <row r="90" spans="8:8" x14ac:dyDescent="0.3">
      <c r="H90" s="48"/>
    </row>
    <row r="91" spans="8:8" x14ac:dyDescent="0.3">
      <c r="H91" s="48"/>
    </row>
    <row r="92" spans="8:8" x14ac:dyDescent="0.3">
      <c r="H92" s="48"/>
    </row>
    <row r="93" spans="8:8" x14ac:dyDescent="0.3">
      <c r="H93" s="48"/>
    </row>
    <row r="94" spans="8:8" x14ac:dyDescent="0.3">
      <c r="H94" s="48"/>
    </row>
    <row r="95" spans="8:8" x14ac:dyDescent="0.3">
      <c r="H95" s="48"/>
    </row>
    <row r="96" spans="8:8" x14ac:dyDescent="0.3">
      <c r="H96" s="48"/>
    </row>
    <row r="97" spans="8:8" x14ac:dyDescent="0.3">
      <c r="H97" s="48"/>
    </row>
    <row r="98" spans="8:8" x14ac:dyDescent="0.3">
      <c r="H98" s="48"/>
    </row>
    <row r="99" spans="8:8" x14ac:dyDescent="0.3">
      <c r="H99" s="48"/>
    </row>
    <row r="100" spans="8:8" x14ac:dyDescent="0.3">
      <c r="H100" s="48"/>
    </row>
    <row r="101" spans="8:8" x14ac:dyDescent="0.3">
      <c r="H101" s="48"/>
    </row>
    <row r="102" spans="8:8" x14ac:dyDescent="0.3">
      <c r="H102" s="48"/>
    </row>
    <row r="103" spans="8:8" x14ac:dyDescent="0.3">
      <c r="H103" s="48"/>
    </row>
    <row r="104" spans="8:8" x14ac:dyDescent="0.3">
      <c r="H104" s="48"/>
    </row>
    <row r="105" spans="8:8" x14ac:dyDescent="0.3">
      <c r="H105" s="48"/>
    </row>
    <row r="106" spans="8:8" x14ac:dyDescent="0.3">
      <c r="H106" s="48"/>
    </row>
    <row r="107" spans="8:8" x14ac:dyDescent="0.3">
      <c r="H107" s="48"/>
    </row>
    <row r="108" spans="8:8" x14ac:dyDescent="0.3">
      <c r="H108" s="48"/>
    </row>
    <row r="109" spans="8:8" x14ac:dyDescent="0.3">
      <c r="H109" s="48"/>
    </row>
    <row r="110" spans="8:8" x14ac:dyDescent="0.3">
      <c r="H110" s="48"/>
    </row>
    <row r="111" spans="8:8" x14ac:dyDescent="0.3">
      <c r="H111" s="48"/>
    </row>
    <row r="112" spans="8:8" x14ac:dyDescent="0.3">
      <c r="H112" s="48"/>
    </row>
    <row r="113" spans="8:8" x14ac:dyDescent="0.3">
      <c r="H113" s="48"/>
    </row>
    <row r="114" spans="8:8" x14ac:dyDescent="0.3">
      <c r="H114" s="48"/>
    </row>
    <row r="115" spans="8:8" x14ac:dyDescent="0.3">
      <c r="H115" s="48"/>
    </row>
    <row r="116" spans="8:8" x14ac:dyDescent="0.3">
      <c r="H116" s="48"/>
    </row>
    <row r="117" spans="8:8" x14ac:dyDescent="0.3">
      <c r="H117" s="48"/>
    </row>
    <row r="118" spans="8:8" x14ac:dyDescent="0.3">
      <c r="H118" s="48"/>
    </row>
    <row r="119" spans="8:8" x14ac:dyDescent="0.3">
      <c r="H119" s="48"/>
    </row>
    <row r="120" spans="8:8" x14ac:dyDescent="0.3">
      <c r="H120" s="48"/>
    </row>
    <row r="121" spans="8:8" x14ac:dyDescent="0.3">
      <c r="H121" s="48"/>
    </row>
    <row r="122" spans="8:8" x14ac:dyDescent="0.3">
      <c r="H122" s="48"/>
    </row>
    <row r="123" spans="8:8" x14ac:dyDescent="0.3">
      <c r="H123" s="48"/>
    </row>
    <row r="124" spans="8:8" x14ac:dyDescent="0.3">
      <c r="H124" s="48"/>
    </row>
    <row r="125" spans="8:8" x14ac:dyDescent="0.3">
      <c r="H125" s="48"/>
    </row>
    <row r="126" spans="8:8" x14ac:dyDescent="0.3">
      <c r="H126" s="48"/>
    </row>
    <row r="127" spans="8:8" x14ac:dyDescent="0.3">
      <c r="H127" s="48"/>
    </row>
    <row r="128" spans="8:8" x14ac:dyDescent="0.3">
      <c r="H128" s="48"/>
    </row>
    <row r="129" spans="8:8" x14ac:dyDescent="0.3">
      <c r="H129" s="48"/>
    </row>
    <row r="130" spans="8:8" x14ac:dyDescent="0.3">
      <c r="H130" s="48"/>
    </row>
    <row r="131" spans="8:8" x14ac:dyDescent="0.3">
      <c r="H131" s="48"/>
    </row>
    <row r="132" spans="8:8" x14ac:dyDescent="0.3">
      <c r="H132" s="48"/>
    </row>
    <row r="133" spans="8:8" x14ac:dyDescent="0.3">
      <c r="H133" s="48"/>
    </row>
    <row r="134" spans="8:8" x14ac:dyDescent="0.3">
      <c r="H134" s="48"/>
    </row>
    <row r="135" spans="8:8" x14ac:dyDescent="0.3">
      <c r="H135" s="48"/>
    </row>
    <row r="136" spans="8:8" x14ac:dyDescent="0.3">
      <c r="H136" s="48"/>
    </row>
    <row r="137" spans="8:8" x14ac:dyDescent="0.3">
      <c r="H137" s="48"/>
    </row>
    <row r="138" spans="8:8" x14ac:dyDescent="0.3">
      <c r="H138" s="48"/>
    </row>
    <row r="139" spans="8:8" x14ac:dyDescent="0.3">
      <c r="H139" s="48"/>
    </row>
    <row r="140" spans="8:8" x14ac:dyDescent="0.3">
      <c r="H140" s="48"/>
    </row>
    <row r="141" spans="8:8" x14ac:dyDescent="0.3">
      <c r="H141" s="48"/>
    </row>
    <row r="142" spans="8:8" x14ac:dyDescent="0.3">
      <c r="H142" s="48"/>
    </row>
    <row r="143" spans="8:8" x14ac:dyDescent="0.3">
      <c r="H143" s="48"/>
    </row>
    <row r="144" spans="8:8" x14ac:dyDescent="0.3">
      <c r="H144" s="48"/>
    </row>
    <row r="145" spans="8:8" x14ac:dyDescent="0.3">
      <c r="H145" s="48"/>
    </row>
    <row r="146" spans="8:8" x14ac:dyDescent="0.3">
      <c r="H146" s="48"/>
    </row>
    <row r="147" spans="8:8" x14ac:dyDescent="0.3">
      <c r="H147" s="48"/>
    </row>
    <row r="148" spans="8:8" x14ac:dyDescent="0.3">
      <c r="H148" s="48"/>
    </row>
    <row r="149" spans="8:8" x14ac:dyDescent="0.3">
      <c r="H149" s="48"/>
    </row>
    <row r="150" spans="8:8" x14ac:dyDescent="0.3">
      <c r="H150" s="48"/>
    </row>
    <row r="151" spans="8:8" x14ac:dyDescent="0.3">
      <c r="H151" s="48"/>
    </row>
    <row r="152" spans="8:8" x14ac:dyDescent="0.3">
      <c r="H152" s="48"/>
    </row>
    <row r="153" spans="8:8" x14ac:dyDescent="0.3">
      <c r="H153" s="48"/>
    </row>
    <row r="154" spans="8:8" x14ac:dyDescent="0.3">
      <c r="H154" s="48"/>
    </row>
    <row r="155" spans="8:8" x14ac:dyDescent="0.3">
      <c r="H155" s="48"/>
    </row>
    <row r="156" spans="8:8" x14ac:dyDescent="0.3">
      <c r="H156" s="48"/>
    </row>
    <row r="157" spans="8:8" x14ac:dyDescent="0.3">
      <c r="H157" s="48"/>
    </row>
    <row r="158" spans="8:8" x14ac:dyDescent="0.3">
      <c r="H158" s="48"/>
    </row>
    <row r="159" spans="8:8" x14ac:dyDescent="0.3">
      <c r="H159" s="48"/>
    </row>
    <row r="160" spans="8:8" x14ac:dyDescent="0.3">
      <c r="H160" s="48"/>
    </row>
    <row r="161" spans="8:8" x14ac:dyDescent="0.3">
      <c r="H161" s="48"/>
    </row>
    <row r="162" spans="8:8" x14ac:dyDescent="0.3">
      <c r="H162" s="48"/>
    </row>
    <row r="163" spans="8:8" x14ac:dyDescent="0.3">
      <c r="H163" s="48"/>
    </row>
    <row r="164" spans="8:8" x14ac:dyDescent="0.3">
      <c r="H164" s="48"/>
    </row>
    <row r="165" spans="8:8" x14ac:dyDescent="0.3">
      <c r="H165" s="48"/>
    </row>
    <row r="166" spans="8:8" x14ac:dyDescent="0.3">
      <c r="H166" s="48"/>
    </row>
    <row r="167" spans="8:8" x14ac:dyDescent="0.3">
      <c r="H167" s="48"/>
    </row>
    <row r="168" spans="8:8" x14ac:dyDescent="0.3">
      <c r="H168" s="48"/>
    </row>
    <row r="169" spans="8:8" x14ac:dyDescent="0.3">
      <c r="H169" s="48"/>
    </row>
    <row r="170" spans="8:8" x14ac:dyDescent="0.3">
      <c r="H170" s="48"/>
    </row>
    <row r="171" spans="8:8" x14ac:dyDescent="0.3">
      <c r="H171" s="48"/>
    </row>
    <row r="172" spans="8:8" x14ac:dyDescent="0.3">
      <c r="H172" s="48"/>
    </row>
    <row r="173" spans="8:8" x14ac:dyDescent="0.3">
      <c r="H173" s="48"/>
    </row>
    <row r="174" spans="8:8" x14ac:dyDescent="0.3">
      <c r="H174" s="48"/>
    </row>
    <row r="175" spans="8:8" x14ac:dyDescent="0.3">
      <c r="H175" s="48"/>
    </row>
    <row r="176" spans="8:8" x14ac:dyDescent="0.3">
      <c r="H176" s="48"/>
    </row>
    <row r="177" spans="8:8" x14ac:dyDescent="0.3">
      <c r="H177" s="48"/>
    </row>
    <row r="178" spans="8:8" x14ac:dyDescent="0.3">
      <c r="H178" s="48"/>
    </row>
    <row r="179" spans="8:8" x14ac:dyDescent="0.3">
      <c r="H179" s="48"/>
    </row>
    <row r="180" spans="8:8" x14ac:dyDescent="0.3">
      <c r="H180" s="48"/>
    </row>
    <row r="181" spans="8:8" x14ac:dyDescent="0.3">
      <c r="H181" s="4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D526D-F328-4C54-ACA2-F18A80C5F3F7}">
  <sheetPr codeName="Tabelle2"/>
  <dimension ref="B1:J18"/>
  <sheetViews>
    <sheetView workbookViewId="0">
      <selection activeCell="D11" sqref="D11"/>
    </sheetView>
  </sheetViews>
  <sheetFormatPr baseColWidth="10" defaultRowHeight="14.4" x14ac:dyDescent="0.3"/>
  <cols>
    <col min="1" max="1" width="7" customWidth="1"/>
    <col min="2" max="2" width="22.88671875" customWidth="1"/>
    <col min="3" max="3" width="13.6640625" customWidth="1"/>
  </cols>
  <sheetData>
    <row r="1" spans="2:10" ht="15" thickBot="1" x14ac:dyDescent="0.35"/>
    <row r="2" spans="2:10" x14ac:dyDescent="0.3">
      <c r="B2" s="21" t="s">
        <v>4</v>
      </c>
      <c r="C2" s="22"/>
      <c r="D2" s="2"/>
      <c r="E2" s="5" t="s">
        <v>7</v>
      </c>
      <c r="F2" s="6" t="s">
        <v>8</v>
      </c>
      <c r="G2" s="6" t="s">
        <v>9</v>
      </c>
      <c r="H2" s="6" t="s">
        <v>10</v>
      </c>
      <c r="I2" s="6" t="s">
        <v>11</v>
      </c>
      <c r="J2" s="7" t="s">
        <v>12</v>
      </c>
    </row>
    <row r="3" spans="2:10" x14ac:dyDescent="0.3">
      <c r="B3" s="18" t="s">
        <v>5</v>
      </c>
      <c r="C3" s="20" t="s">
        <v>29</v>
      </c>
      <c r="D3" s="2"/>
      <c r="E3" s="5">
        <v>1</v>
      </c>
      <c r="F3" s="6" t="s">
        <v>18</v>
      </c>
      <c r="G3" s="6">
        <f t="shared" ref="G3:G12" si="0">CODE(F3)</f>
        <v>65</v>
      </c>
      <c r="H3" s="6" t="s">
        <v>13</v>
      </c>
      <c r="I3" s="8">
        <f>G3</f>
        <v>65</v>
      </c>
      <c r="J3" s="9" cm="1">
        <f t="array" aca="1" ref="J3" ca="1">SUMPRODUCT(1*MID(I3,ROW(INDIRECT("1:"&amp;LEN(I3))),1))</f>
        <v>11</v>
      </c>
    </row>
    <row r="4" spans="2:10" x14ac:dyDescent="0.3">
      <c r="B4" s="18" t="s">
        <v>6</v>
      </c>
      <c r="C4" s="17">
        <v>1</v>
      </c>
      <c r="D4" s="2"/>
      <c r="E4" s="10">
        <v>2</v>
      </c>
      <c r="F4" s="4" t="s">
        <v>19</v>
      </c>
      <c r="G4" s="4">
        <f t="shared" si="0"/>
        <v>66</v>
      </c>
      <c r="H4" s="4" t="s">
        <v>14</v>
      </c>
      <c r="I4" s="11">
        <f>G4*2</f>
        <v>132</v>
      </c>
      <c r="J4" s="9" cm="1">
        <f t="array" aca="1" ref="J4" ca="1">SUMPRODUCT(1*MID(I4,ROW(INDIRECT("1:"&amp;LEN(I4))),1))</f>
        <v>6</v>
      </c>
    </row>
    <row r="5" spans="2:10" x14ac:dyDescent="0.3">
      <c r="B5" s="19" t="s">
        <v>16</v>
      </c>
      <c r="C5" s="24" t="s">
        <v>30</v>
      </c>
      <c r="D5" s="2"/>
      <c r="E5" s="10">
        <v>3</v>
      </c>
      <c r="F5" s="4" t="s">
        <v>20</v>
      </c>
      <c r="G5" s="4">
        <f t="shared" si="0"/>
        <v>67</v>
      </c>
      <c r="H5" s="4" t="s">
        <v>13</v>
      </c>
      <c r="I5" s="11">
        <f>G5</f>
        <v>67</v>
      </c>
      <c r="J5" s="9" cm="1">
        <f t="array" aca="1" ref="J5" ca="1">SUMPRODUCT(1*MID(I5,ROW(INDIRECT("1:"&amp;LEN(I5))),1))</f>
        <v>13</v>
      </c>
    </row>
    <row r="6" spans="2:10" x14ac:dyDescent="0.3">
      <c r="B6" s="1"/>
      <c r="D6" s="2"/>
      <c r="E6" s="10">
        <v>4</v>
      </c>
      <c r="F6" s="4" t="s">
        <v>21</v>
      </c>
      <c r="G6" s="4">
        <f t="shared" si="0"/>
        <v>68</v>
      </c>
      <c r="H6" s="4" t="s">
        <v>14</v>
      </c>
      <c r="I6" s="11">
        <f>G6*2</f>
        <v>136</v>
      </c>
      <c r="J6" s="9" cm="1">
        <f t="array" aca="1" ref="J6" ca="1">SUMPRODUCT(1*MID(I6,ROW(INDIRECT("1:"&amp;LEN(I6))),1))</f>
        <v>10</v>
      </c>
    </row>
    <row r="7" spans="2:10" x14ac:dyDescent="0.3">
      <c r="B7" s="1"/>
      <c r="D7" s="2"/>
      <c r="E7" s="10">
        <v>5</v>
      </c>
      <c r="F7" s="4" t="s">
        <v>22</v>
      </c>
      <c r="G7" s="4">
        <f t="shared" si="0"/>
        <v>69</v>
      </c>
      <c r="H7" s="4" t="s">
        <v>13</v>
      </c>
      <c r="I7" s="11">
        <f t="shared" ref="I7:I11" si="1">G7</f>
        <v>69</v>
      </c>
      <c r="J7" s="9" cm="1">
        <f t="array" aca="1" ref="J7" ca="1">SUMPRODUCT(1*MID(I7,ROW(INDIRECT("1:"&amp;LEN(I7))),1))</f>
        <v>15</v>
      </c>
    </row>
    <row r="8" spans="2:10" x14ac:dyDescent="0.3">
      <c r="B8" s="1"/>
      <c r="D8" s="2"/>
      <c r="E8" s="10">
        <v>6</v>
      </c>
      <c r="F8" s="4" t="s">
        <v>17</v>
      </c>
      <c r="G8" s="4">
        <f t="shared" si="0"/>
        <v>70</v>
      </c>
      <c r="H8" s="4" t="s">
        <v>14</v>
      </c>
      <c r="I8" s="11">
        <f>G8*2</f>
        <v>140</v>
      </c>
      <c r="J8" s="9" cm="1">
        <f t="array" aca="1" ref="J8" ca="1">SUMPRODUCT(1*MID(I8,ROW(INDIRECT("1:"&amp;LEN(I8))),1))</f>
        <v>5</v>
      </c>
    </row>
    <row r="9" spans="2:10" x14ac:dyDescent="0.3">
      <c r="B9" s="1"/>
      <c r="D9" s="2"/>
      <c r="E9" s="10">
        <v>7</v>
      </c>
      <c r="F9" s="4">
        <v>1</v>
      </c>
      <c r="G9" s="4">
        <f t="shared" si="0"/>
        <v>49</v>
      </c>
      <c r="H9" s="4" t="s">
        <v>13</v>
      </c>
      <c r="I9" s="11">
        <f t="shared" si="1"/>
        <v>49</v>
      </c>
      <c r="J9" s="9" cm="1">
        <f t="array" aca="1" ref="J9" ca="1">SUMPRODUCT(1*MID(I9,ROW(INDIRECT("1:"&amp;LEN(I9))),1))</f>
        <v>13</v>
      </c>
    </row>
    <row r="10" spans="2:10" x14ac:dyDescent="0.3">
      <c r="B10" s="1"/>
      <c r="D10" s="2"/>
      <c r="E10" s="10">
        <v>8</v>
      </c>
      <c r="F10" s="4">
        <v>2</v>
      </c>
      <c r="G10" s="4">
        <f t="shared" si="0"/>
        <v>50</v>
      </c>
      <c r="H10" s="4" t="s">
        <v>14</v>
      </c>
      <c r="I10" s="11">
        <f>G10*2</f>
        <v>100</v>
      </c>
      <c r="J10" s="9" cm="1">
        <f t="array" aca="1" ref="J10" ca="1">SUMPRODUCT(1*MID(I10,ROW(INDIRECT("1:"&amp;LEN(I10))),1))</f>
        <v>1</v>
      </c>
    </row>
    <row r="11" spans="2:10" x14ac:dyDescent="0.3">
      <c r="B11" s="1"/>
      <c r="D11" s="2"/>
      <c r="E11" s="10">
        <v>9</v>
      </c>
      <c r="F11" s="4">
        <v>3</v>
      </c>
      <c r="G11" s="4">
        <f t="shared" si="0"/>
        <v>51</v>
      </c>
      <c r="H11" s="4" t="s">
        <v>13</v>
      </c>
      <c r="I11" s="11">
        <f t="shared" si="1"/>
        <v>51</v>
      </c>
      <c r="J11" s="9" cm="1">
        <f t="array" aca="1" ref="J11" ca="1">SUMPRODUCT(1*MID(I11,ROW(INDIRECT("1:"&amp;LEN(I11))),1))</f>
        <v>6</v>
      </c>
    </row>
    <row r="12" spans="2:10" ht="15" thickBot="1" x14ac:dyDescent="0.35">
      <c r="B12" s="1"/>
      <c r="D12" s="2"/>
      <c r="E12" s="12">
        <v>10</v>
      </c>
      <c r="F12" s="13">
        <v>6</v>
      </c>
      <c r="G12" s="13">
        <f t="shared" si="0"/>
        <v>54</v>
      </c>
      <c r="H12" s="13" t="s">
        <v>14</v>
      </c>
      <c r="I12" s="14">
        <f>G12*2</f>
        <v>108</v>
      </c>
      <c r="J12" s="9" cm="1">
        <f t="array" aca="1" ref="J12" ca="1">SUMPRODUCT(1*MID(I12,ROW(INDIRECT("1:"&amp;LEN(I12))),1))</f>
        <v>9</v>
      </c>
    </row>
    <row r="13" spans="2:10" x14ac:dyDescent="0.3">
      <c r="B13" s="1"/>
      <c r="D13" s="2"/>
      <c r="E13" s="4"/>
      <c r="F13" s="4"/>
      <c r="G13" s="4"/>
      <c r="H13" s="4"/>
      <c r="I13" s="4"/>
      <c r="J13" s="15" t="s">
        <v>15</v>
      </c>
    </row>
    <row r="14" spans="2:10" ht="15" thickBot="1" x14ac:dyDescent="0.35">
      <c r="B14" s="1"/>
      <c r="D14" s="2"/>
      <c r="E14" s="4"/>
      <c r="F14" s="4"/>
      <c r="G14" s="4"/>
      <c r="H14" s="4"/>
      <c r="I14" s="4"/>
      <c r="J14" s="16">
        <f ca="1">SUM(J3:J12)</f>
        <v>89</v>
      </c>
    </row>
    <row r="18" spans="5:5" x14ac:dyDescent="0.3">
      <c r="E18" s="25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utorial">
                <anchor moveWithCells="1" sizeWithCells="1">
                  <from>
                    <xdr:col>1</xdr:col>
                    <xdr:colOff>7620</xdr:colOff>
                    <xdr:row>5</xdr:row>
                    <xdr:rowOff>15240</xdr:rowOff>
                  </from>
                  <to>
                    <xdr:col>1</xdr:col>
                    <xdr:colOff>1287780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NMI Sammlung</vt:lpstr>
      <vt:lpstr>UserFormBlatt</vt:lpstr>
      <vt:lpstr>Tutorial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Kröner, Paul</dc:creator>
  <cp:lastModifiedBy>Kröner, Paul (Praktikant, GPRA601)</cp:lastModifiedBy>
  <dcterms:created xsi:type="dcterms:W3CDTF">2015-06-05T18:19:34Z</dcterms:created>
  <dcterms:modified xsi:type="dcterms:W3CDTF">2022-02-04T12:03:09Z</dcterms:modified>
</cp:coreProperties>
</file>